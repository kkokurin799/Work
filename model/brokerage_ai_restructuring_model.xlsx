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Формула" sheetId="1" r:id="rId1"/>
    <sheet name="Параметры" sheetId="2" r:id="rId2"/>
    <sheet name="Атомы" sheetId="3" r:id="rId3"/>
    <sheet name="Расчёт" sheetId="4" r:id="rId4"/>
    <sheet name="Структура" sheetId="5" r:id="rId5"/>
    <sheet name="Процентовка" sheetId="6" r:id="rId6"/>
  </sheets>
  <calcPr calcId="124519" fullCalcOnLoad="1"/>
</workbook>
</file>

<file path=xl/sharedStrings.xml><?xml version="1.0" encoding="utf-8"?>
<sst xmlns="http://schemas.openxmlformats.org/spreadsheetml/2006/main" count="275" uniqueCount="197">
  <si>
    <t>Модель целевой структуры направления «Брокерское обслуживание» после внедрения ИИ-агентов</t>
  </si>
  <si>
    <t>Жёлтые ячейки — входные параметры. Всё остальное считается формулами. Расчёт — базовый сценарий.</t>
  </si>
  <si>
    <t>Шаг 1. Сколько людей нужно при сегодняшнем объёме работ</t>
  </si>
  <si>
    <t xml:space="preserve">   Экономия вида работ i:  E_i = Σ_j w_ij × a_ij</t>
  </si>
  <si>
    <t xml:space="preserve">   w_ij — доля атома j в трудозатратах вида работ i (в часах, а не в сроке); a_ij — насколько ИИ сокращает часы атома.</t>
  </si>
  <si>
    <t xml:space="preserve">   Нужно исполнителей:  FTE = (Σ_i FTE_i × (1 − k × E_i)) × (1 + o) − R</t>
  </si>
  <si>
    <t xml:space="preserve">   k — доля потока задач через агентов; o — накладные на ИИ (ревью агентов, доводка пайплайна); R — меньше переделок благодаря Intent-команде.</t>
  </si>
  <si>
    <t xml:space="preserve">   Численность = исполнители + руководители команд + роли вне команд.</t>
  </si>
  <si>
    <t>Шаг 2. Как меняется процентовка работ при той же численности</t>
  </si>
  <si>
    <t xml:space="preserve">   Законодательство и развитие: объём сохраняется плюс запас на рост.</t>
  </si>
  <si>
    <t xml:space="preserve">   Внедрение: половина уходит в Intent-команду, остаток сокращают тиражные скрипты настройки и миграции.</t>
  </si>
  <si>
    <t xml:space="preserve">   Сопровождение: агент первой линии и меньше обращений благодаря качеству (Intent-команда, автотесты).</t>
  </si>
  <si>
    <t xml:space="preserve">   Пресейлы: типовой пакет и демо-стенд.</t>
  </si>
  <si>
    <t xml:space="preserve">   Заказные доработки — балансирующая статья: в них уходит вся высвобожденная мощность производственных команд.</t>
  </si>
  <si>
    <t>Правила расчёта</t>
  </si>
  <si>
    <t xml:space="preserve">   «Ускоримся на 40%» = трудозатраты −40%, а не скорость ×1,4 (это было бы −29%).</t>
  </si>
  <si>
    <t xml:space="preserve">   Считаются часы, а не срок: ожидание заказчика на ПСИ людей не освобождает.</t>
  </si>
  <si>
    <t xml:space="preserve">   Эффект ограничен атомами, которые ИИ почти не ускоряет: двукратное ускорение всей разработки даёт только 15%.</t>
  </si>
  <si>
    <t xml:space="preserve">   Работа, которая переходит в Intent-команду, — это перенос, а не экономия.</t>
  </si>
  <si>
    <t>Параметры модели</t>
  </si>
  <si>
    <t>Штат AS-IS</t>
  </si>
  <si>
    <t>Значение</t>
  </si>
  <si>
    <t>Команд</t>
  </si>
  <si>
    <t>Руководителей в команде</t>
  </si>
  <si>
    <t>Аналитиков в команде</t>
  </si>
  <si>
    <t>Разработчиков в команде</t>
  </si>
  <si>
    <t>Тестировщиков-DevOps в команде</t>
  </si>
  <si>
    <t>Ролей вне команд (не ускоряются ИИ)</t>
  </si>
  <si>
    <t>Исполнителей AS-IS (аналитики + разработчики + тестировщики-DevOps)</t>
  </si>
  <si>
    <t>Всего AS-IS</t>
  </si>
  <si>
    <t>Вид работ</t>
  </si>
  <si>
    <t>Доля AS-IS</t>
  </si>
  <si>
    <t>FTE исполнителей</t>
  </si>
  <si>
    <t>Группа атомов</t>
  </si>
  <si>
    <t>Целевая доля TO-BE</t>
  </si>
  <si>
    <t>Заказные доработки</t>
  </si>
  <si>
    <t>Изменения</t>
  </si>
  <si>
    <t>Поддержка законодательства</t>
  </si>
  <si>
    <t>Развитие продукта</t>
  </si>
  <si>
    <t>Поддержка проектов внедрения</t>
  </si>
  <si>
    <t>Внедрение</t>
  </si>
  <si>
    <t>Сопровождение</t>
  </si>
  <si>
    <t>Пресейлы и обследования</t>
  </si>
  <si>
    <t>Пресейлы</t>
  </si>
  <si>
    <t>Итого</t>
  </si>
  <si>
    <t>Параметры расчёта</t>
  </si>
  <si>
    <t>k — доля потока задач через агентов на конец года</t>
  </si>
  <si>
    <t>o — накладные на ИИ (ревью агентов, доводка пайплайна)</t>
  </si>
  <si>
    <t>Доля переделок в трудозатратах изменений</t>
  </si>
  <si>
    <t>Снижение переделок за счёт Intent-команды</t>
  </si>
  <si>
    <t>Доля входной аналитики изменений, которую берёт Intent-команда</t>
  </si>
  <si>
    <t>Доля времени руководителя команды на задачах</t>
  </si>
  <si>
    <t>Накладные на ИИ: доля разработчиков</t>
  </si>
  <si>
    <t>Накладные на ИИ: доля тестировщиков-DevOps</t>
  </si>
  <si>
    <t>Снижение переделок: доля аналитиков</t>
  </si>
  <si>
    <t>Снижение переделок: доля разработчиков</t>
  </si>
  <si>
    <t>Снижение переделок: доля тестировщиков-DevOps</t>
  </si>
  <si>
    <t>Шаг 2: сдвиг процентовки</t>
  </si>
  <si>
    <t>Снижение числа обращений в сопровождение (качество: Intent-команда, автотесты)</t>
  </si>
  <si>
    <t>Рост объёма законодательства и развития продукта</t>
  </si>
  <si>
    <t>Чувствительность: альтернативное снижение числа обращений</t>
  </si>
  <si>
    <t>Атомы работы: доля в часах, экономия за счёт ИИ, кто выполняет</t>
  </si>
  <si>
    <t>Доли w внутри группы дают 100%. Шаг 1 — ИИ-ассистенты при текущем объёме; шаг 2 — агенты первой линии и тиражные решения. Роли: А — аналитик, Р — разработчик, Т — тестировщик-DevOps.</t>
  </si>
  <si>
    <t>Группа</t>
  </si>
  <si>
    <t>Блок</t>
  </si>
  <si>
    <t>Атом работы</t>
  </si>
  <si>
    <t>Что делает ИИ</t>
  </si>
  <si>
    <t>w</t>
  </si>
  <si>
    <t>a шаг 1</t>
  </si>
  <si>
    <t>a шаг 2</t>
  </si>
  <si>
    <t>Доля А</t>
  </si>
  <si>
    <t>Доля Р</t>
  </si>
  <si>
    <t>Доля Т</t>
  </si>
  <si>
    <t>Доля Intent</t>
  </si>
  <si>
    <t>Остаток шаг 1</t>
  </si>
  <si>
    <t>Остаток шаг 2</t>
  </si>
  <si>
    <t>Аналитика</t>
  </si>
  <si>
    <t>Встречи, интервью, согласования с заказчиком</t>
  </si>
  <si>
    <t>Протоколы, резюме, список открытых вопросов; сами переговоры не ускоряет</t>
  </si>
  <si>
    <t>Разбор нормативки, ТЗ и текущей логики продукта</t>
  </si>
  <si>
    <t>Поиск и сравнение норм, выжимка изменений, поиск затронутого кода и настроек</t>
  </si>
  <si>
    <t>Постановка и спецификация (Proposal.md)</t>
  </si>
  <si>
    <t>Черновик постановки, сценарии и критерии приёмки по шаблону</t>
  </si>
  <si>
    <t>Разработка</t>
  </si>
  <si>
    <t>Проектирование решения</t>
  </si>
  <si>
    <t>Варианты решения и анализ влияния; решение принимает человек</t>
  </si>
  <si>
    <t>Написание кода</t>
  </si>
  <si>
    <t>Агент пишет код по постановке</t>
  </si>
  <si>
    <t>Ревью, отладка, merge</t>
  </si>
  <si>
    <t>Автоматическое ревью, объяснение ошибок, подсказки по исправлению</t>
  </si>
  <si>
    <t>DevOps</t>
  </si>
  <si>
    <t>Сборка, стенды, деплой</t>
  </si>
  <si>
    <t>Генерация пайплайнов и конфигураций, разбор падений сборки</t>
  </si>
  <si>
    <t>Тестирование</t>
  </si>
  <si>
    <t>Тест-дизайн и тест-кейсы</t>
  </si>
  <si>
    <t>Генерация тест-кейсов из постановки и критериев приёмки</t>
  </si>
  <si>
    <t>Тестовые данные (сделки, позиции, остатки)</t>
  </si>
  <si>
    <t>Генерация наборов данных под сценарии</t>
  </si>
  <si>
    <t>Прогон, регресс, автотесты</t>
  </si>
  <si>
    <t>Агент пишет и поддерживает автотесты</t>
  </si>
  <si>
    <t>Анализ дефектов и ретесты</t>
  </si>
  <si>
    <t>Локализация причины, черновик исправления</t>
  </si>
  <si>
    <t>ПСИ с заказчиком</t>
  </si>
  <si>
    <t>Программа и протоколы испытаний; сами испытания не ускоряет</t>
  </si>
  <si>
    <t>Приём и классификация обращений</t>
  </si>
  <si>
    <t>Шаг 1: автоклассификация. Шаг 2: агент первой линии принимает и маршрутизирует сам</t>
  </si>
  <si>
    <t>Диагностика: логи, данные, воспроизведение</t>
  </si>
  <si>
    <t>Анализ логов и данных, гипотезы причины</t>
  </si>
  <si>
    <t>Исправления и хотфиксы</t>
  </si>
  <si>
    <t>Агент готовит исправление и тест к нему</t>
  </si>
  <si>
    <t>Консультации и ответы клиентам</t>
  </si>
  <si>
    <t>Шаг 1: черновики ответов. Шаг 2: агент отвечает по базе знаний, человек — только сложные случаи</t>
  </si>
  <si>
    <t>Регламентные работы и мониторинг</t>
  </si>
  <si>
    <t>Скрипты, алерты, автоматизация регламентов</t>
  </si>
  <si>
    <t>Обследование и проработка решения у клиента (уходит в Intent-команду)</t>
  </si>
  <si>
    <t>Выжимка обследования, черновик решения</t>
  </si>
  <si>
    <t>Настройка и миграция данных</t>
  </si>
  <si>
    <t>Шаг 2: тиражные скрипты настройки и миграции, которые готовит агент</t>
  </si>
  <si>
    <t>Поддержка тестирования у клиента, обучение</t>
  </si>
  <si>
    <t>Шаг 2: типовые материалы обучения, разбор замечаний клиента агентом</t>
  </si>
  <si>
    <t>Встречи, демо, обследования</t>
  </si>
  <si>
    <t>Шаг 2: типовой демо-стенд и заготовленные ответы сокращают встречи</t>
  </si>
  <si>
    <t>Подготовка материалов и оценок</t>
  </si>
  <si>
    <t>Шаг 2: типовой пакет пресейла, материалы и оценки готовит агент</t>
  </si>
  <si>
    <t>Шаг 1. Экономия и потребность в людях при сегодняшнем объёме работ</t>
  </si>
  <si>
    <t>Σw (проверка)</t>
  </si>
  <si>
    <t>E шаг 1</t>
  </si>
  <si>
    <t>E шаг 2</t>
  </si>
  <si>
    <t>Intent as-is</t>
  </si>
  <si>
    <t>Intent шаг 1</t>
  </si>
  <si>
    <t>Intent шаг 2</t>
  </si>
  <si>
    <t>FTE AS-IS</t>
  </si>
  <si>
    <t>Экономия E</t>
  </si>
  <si>
    <t>Нужно</t>
  </si>
  <si>
    <t>Итого до накладных</t>
  </si>
  <si>
    <t>+ накладные на ИИ (o)</t>
  </si>
  <si>
    <t>− снижение переделок (R)</t>
  </si>
  <si>
    <t>Нужно исполнителей</t>
  </si>
  <si>
    <t>Экономия на исполнителях к AS-IS</t>
  </si>
  <si>
    <t>Доли часов по ролям</t>
  </si>
  <si>
    <t>А as-is</t>
  </si>
  <si>
    <t>Р as-is</t>
  </si>
  <si>
    <t>Т as-is</t>
  </si>
  <si>
    <t>А шаг 1</t>
  </si>
  <si>
    <t>Р шаг 1</t>
  </si>
  <si>
    <t>Т шаг 1</t>
  </si>
  <si>
    <t>FTE по группам</t>
  </si>
  <si>
    <t>Потребность по ролям</t>
  </si>
  <si>
    <t>Работа AS-IS</t>
  </si>
  <si>
    <t>Аналитика (включая Intent-команду)</t>
  </si>
  <si>
    <t>Тестирование и DevOps</t>
  </si>
  <si>
    <t>Итого исполнителей</t>
  </si>
  <si>
    <t>из них работа Intent-команды</t>
  </si>
  <si>
    <t>«Работа AS-IS» — сколько людей нужно под роль по раскладке атомов; «Штат AS-IS» — сколько людей в роли сейчас. Разница показывает, какую часть аналитики и диагностики сегодня фактически делают разработчики. Это первое, что нужно проверить на реальных задачах.</t>
  </si>
  <si>
    <t>Целевая структура и сверка с потребностью (шаг 1)</t>
  </si>
  <si>
    <t>Команда</t>
  </si>
  <si>
    <t>Кол-во</t>
  </si>
  <si>
    <t>РК</t>
  </si>
  <si>
    <t>Аналитики</t>
  </si>
  <si>
    <t>Разработчики</t>
  </si>
  <si>
    <t>Тестировщики-DevOps</t>
  </si>
  <si>
    <t>В команде</t>
  </si>
  <si>
    <t>Всего</t>
  </si>
  <si>
    <t>Intent-команда (discovery и intent)</t>
  </si>
  <si>
    <t>Продуктовый учёт по всем рынкам</t>
  </si>
  <si>
    <t>Внутренний, бухгалтерский и доверительный учёт</t>
  </si>
  <si>
    <t>НДФЛ</t>
  </si>
  <si>
    <t>Кор-команда по финансовым инструментам (платформы FA и MSA)</t>
  </si>
  <si>
    <t>Микросервисная команда (рыночные данные и прочие сервисы)</t>
  </si>
  <si>
    <t>Роли вне команд</t>
  </si>
  <si>
    <t>Итого TO-BE</t>
  </si>
  <si>
    <t>Итого AS-IS</t>
  </si>
  <si>
    <t>Изменение численности</t>
  </si>
  <si>
    <t>Сверка с потребностью</t>
  </si>
  <si>
    <t>Есть</t>
  </si>
  <si>
    <t>Разрыв</t>
  </si>
  <si>
    <t>Руководители на задачах (РК × доля времени)</t>
  </si>
  <si>
    <t>Intent-команда: есть / нужно</t>
  </si>
  <si>
    <t>Мощность производственных команд (без Intent-команды)</t>
  </si>
  <si>
    <t>Нехватку в тестировании закрывают продуктовые инженеры: избыток разработки и руководители уходят в автотесты с агентами.</t>
  </si>
  <si>
    <t>Шаг 2. Процентовка работ производственных команд TO-BE при той же численности</t>
  </si>
  <si>
    <t>Процентовка считается от мощности производственных команд. Intent-команда — отдельная функция. Заказные доработки — балансирующая статья.</t>
  </si>
  <si>
    <t>Нужно, шаг 1</t>
  </si>
  <si>
    <t>Объём, шаг 2</t>
  </si>
  <si>
    <t>Нужно, шаг 2</t>
  </si>
  <si>
    <t>Доля TO-BE</t>
  </si>
  <si>
    <t>Целевая доля</t>
  </si>
  <si>
    <t>Отклонение</t>
  </si>
  <si>
    <t>остаток</t>
  </si>
  <si>
    <t>Мощность производственных команд</t>
  </si>
  <si>
    <t>Запас мощности на шаге 1</t>
  </si>
  <si>
    <t>Объём заказных доработок к AS-IS</t>
  </si>
  <si>
    <t>раз (прирост идёт через аналитиков команд, без Intent-команды)</t>
  </si>
  <si>
    <t>Нагрузка Intent-команды на шаге 2</t>
  </si>
  <si>
    <t>Чувствительность: снижение обращений</t>
  </si>
  <si>
    <t>Сопровождение, доля</t>
  </si>
  <si>
    <t>Заказные доработки, доля</t>
  </si>
</sst>
</file>

<file path=xl/styles.xml><?xml version="1.0" encoding="utf-8"?>
<styleSheet xmlns="http://schemas.openxmlformats.org/spreadsheetml/2006/main">
  <numFmts count="3">
    <numFmt numFmtId="164" formatCode="0.0"/>
    <numFmt numFmtId="165" formatCode="0%"/>
    <numFmt numFmtId="166" formatCode="0.0%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2" fillId="0" borderId="1" xfId="0" applyFont="1" applyBorder="1" applyAlignment="1">
      <alignment vertical="top" wrapText="1"/>
    </xf>
    <xf numFmtId="164" fontId="2" fillId="4" borderId="1" xfId="0" applyNumberFormat="1" applyFont="1" applyFill="1" applyBorder="1" applyAlignment="1">
      <alignment vertical="top"/>
    </xf>
    <xf numFmtId="165" fontId="0" fillId="3" borderId="1" xfId="0" applyNumberFormat="1" applyFill="1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2" fillId="4" borderId="1" xfId="0" applyNumberFormat="1" applyFont="1" applyFill="1" applyBorder="1" applyAlignment="1">
      <alignment vertical="top"/>
    </xf>
    <xf numFmtId="165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" fontId="2" fillId="4" borderId="1" xfId="0" applyNumberFormat="1" applyFont="1" applyFill="1" applyBorder="1" applyAlignment="1">
      <alignment vertical="top"/>
    </xf>
    <xf numFmtId="166" fontId="0" fillId="0" borderId="1" xfId="0" applyNumberFormat="1" applyBorder="1" applyAlignment="1">
      <alignment vertical="top"/>
    </xf>
    <xf numFmtId="166" fontId="2" fillId="4" borderId="1" xfId="0" applyNumberFormat="1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2"/>
  <sheetViews>
    <sheetView tabSelected="1" workbookViewId="0"/>
  </sheetViews>
  <sheetFormatPr defaultRowHeight="15"/>
  <cols>
    <col min="1" max="1" width="125.7109375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3"/>
    </row>
    <row r="4" spans="1:1">
      <c r="A4" s="2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8" spans="1:1">
      <c r="A8" s="3" t="s">
        <v>6</v>
      </c>
    </row>
    <row r="9" spans="1:1">
      <c r="A9" s="3" t="s">
        <v>7</v>
      </c>
    </row>
    <row r="10" spans="1:1">
      <c r="A10" s="3"/>
    </row>
    <row r="11" spans="1:1">
      <c r="A11" s="2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5" spans="1:1">
      <c r="A15" s="3" t="s">
        <v>12</v>
      </c>
    </row>
    <row r="16" spans="1:1">
      <c r="A16" s="3" t="s">
        <v>13</v>
      </c>
    </row>
    <row r="17" spans="1:1">
      <c r="A17" s="3"/>
    </row>
    <row r="18" spans="1:1">
      <c r="A18" s="2" t="s">
        <v>14</v>
      </c>
    </row>
    <row r="19" spans="1:1">
      <c r="A19" s="3" t="s">
        <v>15</v>
      </c>
    </row>
    <row r="20" spans="1:1">
      <c r="A20" s="3" t="s">
        <v>16</v>
      </c>
    </row>
    <row r="21" spans="1:1">
      <c r="A21" s="3" t="s">
        <v>17</v>
      </c>
    </row>
    <row r="22" spans="1:1">
      <c r="A22" s="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"/>
  <sheetViews>
    <sheetView workbookViewId="0"/>
  </sheetViews>
  <sheetFormatPr defaultRowHeight="15"/>
  <cols>
    <col min="1" max="1" width="60.7109375" customWidth="1"/>
    <col min="2" max="5" width="15.7109375" customWidth="1"/>
  </cols>
  <sheetData>
    <row r="1" spans="1:5">
      <c r="A1" s="1" t="s">
        <v>19</v>
      </c>
    </row>
    <row r="3" spans="1:5">
      <c r="A3" s="4" t="s">
        <v>20</v>
      </c>
      <c r="B3" s="4" t="s">
        <v>21</v>
      </c>
    </row>
    <row r="4" spans="1:5">
      <c r="A4" s="5" t="s">
        <v>22</v>
      </c>
      <c r="B4" s="6">
        <v>6</v>
      </c>
    </row>
    <row r="5" spans="1:5">
      <c r="A5" s="5" t="s">
        <v>23</v>
      </c>
      <c r="B5" s="6">
        <v>1</v>
      </c>
    </row>
    <row r="6" spans="1:5">
      <c r="A6" s="5" t="s">
        <v>24</v>
      </c>
      <c r="B6" s="6">
        <v>2</v>
      </c>
    </row>
    <row r="7" spans="1:5">
      <c r="A7" s="5" t="s">
        <v>25</v>
      </c>
      <c r="B7" s="6">
        <v>4</v>
      </c>
    </row>
    <row r="8" spans="1:5">
      <c r="A8" s="5" t="s">
        <v>26</v>
      </c>
      <c r="B8" s="6">
        <v>2</v>
      </c>
    </row>
    <row r="9" spans="1:5">
      <c r="A9" s="5" t="s">
        <v>27</v>
      </c>
      <c r="B9" s="6">
        <v>6</v>
      </c>
    </row>
    <row r="10" spans="1:5">
      <c r="A10" s="7" t="s">
        <v>28</v>
      </c>
      <c r="B10" s="8">
        <f>B4*(B6+B7+B8)</f>
        <v>48</v>
      </c>
    </row>
    <row r="11" spans="1:5">
      <c r="A11" s="7" t="s">
        <v>29</v>
      </c>
      <c r="B11" s="8">
        <f>B4*(B5+B6+B7+B8)+B9</f>
        <v>60</v>
      </c>
    </row>
    <row r="13" spans="1:5">
      <c r="A13" s="4" t="s">
        <v>30</v>
      </c>
      <c r="B13" s="4" t="s">
        <v>31</v>
      </c>
      <c r="C13" s="4" t="s">
        <v>32</v>
      </c>
      <c r="D13" s="4" t="s">
        <v>33</v>
      </c>
      <c r="E13" s="4" t="s">
        <v>34</v>
      </c>
    </row>
    <row r="14" spans="1:5">
      <c r="A14" s="5" t="s">
        <v>35</v>
      </c>
      <c r="B14" s="9">
        <v>0.2</v>
      </c>
      <c r="C14" s="10">
        <f>B14*$B$10</f>
        <v>9.6</v>
      </c>
      <c r="D14" s="5" t="s">
        <v>36</v>
      </c>
      <c r="E14" s="9">
        <v>0.4</v>
      </c>
    </row>
    <row r="15" spans="1:5">
      <c r="A15" s="5" t="s">
        <v>37</v>
      </c>
      <c r="B15" s="9">
        <v>0.3</v>
      </c>
      <c r="C15" s="10">
        <f>B15*$B$10</f>
        <v>14.4</v>
      </c>
      <c r="D15" s="5" t="s">
        <v>36</v>
      </c>
      <c r="E15" s="9">
        <v>0.3</v>
      </c>
    </row>
    <row r="16" spans="1:5">
      <c r="A16" s="5" t="s">
        <v>38</v>
      </c>
      <c r="B16" s="9">
        <v>0.1</v>
      </c>
      <c r="C16" s="10">
        <f>B16*$B$10</f>
        <v>4.8</v>
      </c>
      <c r="D16" s="5" t="s">
        <v>36</v>
      </c>
      <c r="E16" s="9">
        <v>0.1</v>
      </c>
    </row>
    <row r="17" spans="1:5">
      <c r="A17" s="5" t="s">
        <v>39</v>
      </c>
      <c r="B17" s="9">
        <v>0.1</v>
      </c>
      <c r="C17" s="10">
        <f>B17*$B$10</f>
        <v>4.8</v>
      </c>
      <c r="D17" s="5" t="s">
        <v>40</v>
      </c>
      <c r="E17" s="9">
        <v>0.05</v>
      </c>
    </row>
    <row r="18" spans="1:5">
      <c r="A18" s="5" t="s">
        <v>41</v>
      </c>
      <c r="B18" s="9">
        <v>0.25</v>
      </c>
      <c r="C18" s="10">
        <f>B18*$B$10</f>
        <v>12</v>
      </c>
      <c r="D18" s="5" t="s">
        <v>41</v>
      </c>
      <c r="E18" s="9">
        <v>0.1</v>
      </c>
    </row>
    <row r="19" spans="1:5">
      <c r="A19" s="5" t="s">
        <v>42</v>
      </c>
      <c r="B19" s="9">
        <v>0.05</v>
      </c>
      <c r="C19" s="10">
        <f>B19*$B$10</f>
        <v>2.4</v>
      </c>
      <c r="D19" s="5" t="s">
        <v>43</v>
      </c>
      <c r="E19" s="9">
        <v>0.05</v>
      </c>
    </row>
    <row r="20" spans="1:5">
      <c r="A20" s="7" t="s">
        <v>44</v>
      </c>
      <c r="B20" s="11">
        <f>SUM(B14:B19)</f>
        <v>1</v>
      </c>
      <c r="C20" s="8">
        <f>SUM(C14:C19)</f>
        <v>48</v>
      </c>
      <c r="E20" s="11">
        <f>SUM(E14:E19)</f>
        <v>1</v>
      </c>
    </row>
    <row r="22" spans="1:5">
      <c r="A22" s="4" t="s">
        <v>45</v>
      </c>
      <c r="B22" s="4" t="s">
        <v>21</v>
      </c>
    </row>
    <row r="23" spans="1:5">
      <c r="A23" s="5" t="s">
        <v>46</v>
      </c>
      <c r="B23" s="9">
        <v>1</v>
      </c>
    </row>
    <row r="24" spans="1:5">
      <c r="A24" s="5" t="s">
        <v>47</v>
      </c>
      <c r="B24" s="9">
        <v>0.05</v>
      </c>
    </row>
    <row r="25" spans="1:5">
      <c r="A25" s="5" t="s">
        <v>48</v>
      </c>
      <c r="B25" s="9">
        <v>0.15</v>
      </c>
    </row>
    <row r="26" spans="1:5">
      <c r="A26" s="5" t="s">
        <v>49</v>
      </c>
      <c r="B26" s="9">
        <v>0.3333333333333333</v>
      </c>
    </row>
    <row r="27" spans="1:5">
      <c r="A27" s="5" t="s">
        <v>50</v>
      </c>
      <c r="B27" s="9">
        <v>0.7</v>
      </c>
    </row>
    <row r="28" spans="1:5">
      <c r="A28" s="5" t="s">
        <v>51</v>
      </c>
      <c r="B28" s="9">
        <v>0.5</v>
      </c>
    </row>
    <row r="29" spans="1:5">
      <c r="A29" s="5" t="s">
        <v>52</v>
      </c>
      <c r="B29" s="9">
        <v>0.5</v>
      </c>
    </row>
    <row r="30" spans="1:5">
      <c r="A30" s="5" t="s">
        <v>53</v>
      </c>
      <c r="B30" s="9">
        <v>0.5</v>
      </c>
    </row>
    <row r="31" spans="1:5">
      <c r="A31" s="5" t="s">
        <v>54</v>
      </c>
      <c r="B31" s="9">
        <v>0.3</v>
      </c>
    </row>
    <row r="32" spans="1:5">
      <c r="A32" s="5" t="s">
        <v>55</v>
      </c>
      <c r="B32" s="9">
        <v>0.3</v>
      </c>
    </row>
    <row r="33" spans="1:2">
      <c r="A33" s="5" t="s">
        <v>56</v>
      </c>
      <c r="B33" s="9">
        <v>0.4</v>
      </c>
    </row>
    <row r="35" spans="1:2">
      <c r="A35" s="4" t="s">
        <v>57</v>
      </c>
      <c r="B35" s="4" t="s">
        <v>21</v>
      </c>
    </row>
    <row r="36" spans="1:2">
      <c r="A36" s="5" t="s">
        <v>58</v>
      </c>
      <c r="B36" s="9">
        <v>0.5</v>
      </c>
    </row>
    <row r="37" spans="1:2">
      <c r="A37" s="5" t="s">
        <v>59</v>
      </c>
      <c r="B37" s="9">
        <v>0.1</v>
      </c>
    </row>
    <row r="38" spans="1:2">
      <c r="A38" s="5" t="s">
        <v>60</v>
      </c>
      <c r="B38" s="9">
        <v>0.3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6"/>
  <sheetViews>
    <sheetView workbookViewId="0"/>
  </sheetViews>
  <sheetFormatPr defaultRowHeight="15"/>
  <cols>
    <col min="1" max="1" width="15.7109375" customWidth="1"/>
    <col min="2" max="2" width="14.7109375" customWidth="1"/>
    <col min="3" max="3" width="46.7109375" customWidth="1"/>
    <col min="4" max="4" width="62.7109375" customWidth="1"/>
    <col min="5" max="7" width="10.7109375" customWidth="1"/>
    <col min="8" max="10" width="8.7109375" customWidth="1"/>
    <col min="11" max="11" width="10.7109375" customWidth="1"/>
    <col min="12" max="13" width="11.7109375" customWidth="1"/>
  </cols>
  <sheetData>
    <row r="1" spans="1:13">
      <c r="A1" s="1" t="s">
        <v>61</v>
      </c>
    </row>
    <row r="2" spans="1:13">
      <c r="A2" t="s">
        <v>62</v>
      </c>
    </row>
    <row r="4" spans="1:13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4" t="s">
        <v>68</v>
      </c>
      <c r="G4" s="4" t="s">
        <v>69</v>
      </c>
      <c r="H4" s="4" t="s">
        <v>70</v>
      </c>
      <c r="I4" s="4" t="s">
        <v>71</v>
      </c>
      <c r="J4" s="4" t="s">
        <v>72</v>
      </c>
      <c r="K4" s="4" t="s">
        <v>73</v>
      </c>
      <c r="L4" s="4" t="s">
        <v>74</v>
      </c>
      <c r="M4" s="4" t="s">
        <v>75</v>
      </c>
    </row>
    <row r="5" spans="1:13">
      <c r="A5" s="5" t="s">
        <v>36</v>
      </c>
      <c r="B5" s="5" t="s">
        <v>76</v>
      </c>
      <c r="C5" s="5" t="s">
        <v>77</v>
      </c>
      <c r="D5" s="5" t="s">
        <v>78</v>
      </c>
      <c r="E5" s="9">
        <v>0.12</v>
      </c>
      <c r="F5" s="9">
        <v>0.1</v>
      </c>
      <c r="G5" s="9">
        <v>0.1</v>
      </c>
      <c r="H5" s="9">
        <v>1</v>
      </c>
      <c r="I5" s="9">
        <v>0</v>
      </c>
      <c r="J5" s="9">
        <v>0</v>
      </c>
      <c r="K5" s="9">
        <f>'Параметры'!$B$27</f>
        <v>0.7</v>
      </c>
      <c r="L5" s="12">
        <f>E5*(1-F5)</f>
        <v>0.108</v>
      </c>
      <c r="M5" s="12">
        <f>E5*(1-G5)</f>
        <v>0.108</v>
      </c>
    </row>
    <row r="6" spans="1:13">
      <c r="A6" s="5" t="s">
        <v>36</v>
      </c>
      <c r="B6" s="5" t="s">
        <v>76</v>
      </c>
      <c r="C6" s="5" t="s">
        <v>79</v>
      </c>
      <c r="D6" s="5" t="s">
        <v>80</v>
      </c>
      <c r="E6" s="9">
        <v>0.08</v>
      </c>
      <c r="F6" s="9">
        <v>0.4</v>
      </c>
      <c r="G6" s="9">
        <v>0.4</v>
      </c>
      <c r="H6" s="9">
        <v>1</v>
      </c>
      <c r="I6" s="9">
        <v>0</v>
      </c>
      <c r="J6" s="9">
        <v>0</v>
      </c>
      <c r="K6" s="9">
        <f>'Параметры'!$B$27</f>
        <v>0.7</v>
      </c>
      <c r="L6" s="12">
        <f>E6*(1-F6)</f>
        <v>0.048</v>
      </c>
      <c r="M6" s="12">
        <f>E6*(1-G6)</f>
        <v>0.048</v>
      </c>
    </row>
    <row r="7" spans="1:13">
      <c r="A7" s="5" t="s">
        <v>36</v>
      </c>
      <c r="B7" s="5" t="s">
        <v>76</v>
      </c>
      <c r="C7" s="5" t="s">
        <v>81</v>
      </c>
      <c r="D7" s="5" t="s">
        <v>82</v>
      </c>
      <c r="E7" s="9">
        <v>0.1</v>
      </c>
      <c r="F7" s="9">
        <v>0.5</v>
      </c>
      <c r="G7" s="9">
        <v>0.5</v>
      </c>
      <c r="H7" s="9">
        <v>1</v>
      </c>
      <c r="I7" s="9">
        <v>0</v>
      </c>
      <c r="J7" s="9">
        <v>0</v>
      </c>
      <c r="K7" s="9">
        <v>0</v>
      </c>
      <c r="L7" s="12">
        <f>E7*(1-F7)</f>
        <v>0.05</v>
      </c>
      <c r="M7" s="12">
        <f>E7*(1-G7)</f>
        <v>0.05</v>
      </c>
    </row>
    <row r="8" spans="1:13">
      <c r="A8" s="5" t="s">
        <v>36</v>
      </c>
      <c r="B8" s="5" t="s">
        <v>83</v>
      </c>
      <c r="C8" s="5" t="s">
        <v>84</v>
      </c>
      <c r="D8" s="5" t="s">
        <v>85</v>
      </c>
      <c r="E8" s="9">
        <v>0.05</v>
      </c>
      <c r="F8" s="9">
        <v>0.2</v>
      </c>
      <c r="G8" s="9">
        <v>0.2</v>
      </c>
      <c r="H8" s="9">
        <v>0</v>
      </c>
      <c r="I8" s="9">
        <v>1</v>
      </c>
      <c r="J8" s="9">
        <v>0</v>
      </c>
      <c r="K8" s="9">
        <v>0</v>
      </c>
      <c r="L8" s="12">
        <f>E8*(1-F8)</f>
        <v>0.04</v>
      </c>
      <c r="M8" s="12">
        <f>E8*(1-G8)</f>
        <v>0.04</v>
      </c>
    </row>
    <row r="9" spans="1:13">
      <c r="A9" s="5" t="s">
        <v>36</v>
      </c>
      <c r="B9" s="5" t="s">
        <v>83</v>
      </c>
      <c r="C9" s="5" t="s">
        <v>86</v>
      </c>
      <c r="D9" s="5" t="s">
        <v>87</v>
      </c>
      <c r="E9" s="9">
        <v>0.15</v>
      </c>
      <c r="F9" s="9">
        <v>0.5</v>
      </c>
      <c r="G9" s="9">
        <v>0.5</v>
      </c>
      <c r="H9" s="9">
        <v>0</v>
      </c>
      <c r="I9" s="9">
        <v>1</v>
      </c>
      <c r="J9" s="9">
        <v>0</v>
      </c>
      <c r="K9" s="9">
        <v>0</v>
      </c>
      <c r="L9" s="12">
        <f>E9*(1-F9)</f>
        <v>0.075</v>
      </c>
      <c r="M9" s="12">
        <f>E9*(1-G9)</f>
        <v>0.075</v>
      </c>
    </row>
    <row r="10" spans="1:13">
      <c r="A10" s="5" t="s">
        <v>36</v>
      </c>
      <c r="B10" s="5" t="s">
        <v>83</v>
      </c>
      <c r="C10" s="5" t="s">
        <v>88</v>
      </c>
      <c r="D10" s="5" t="s">
        <v>89</v>
      </c>
      <c r="E10" s="9">
        <v>0.06</v>
      </c>
      <c r="F10" s="9">
        <v>0.3</v>
      </c>
      <c r="G10" s="9">
        <v>0.3</v>
      </c>
      <c r="H10" s="9">
        <v>0</v>
      </c>
      <c r="I10" s="9">
        <v>1</v>
      </c>
      <c r="J10" s="9">
        <v>0</v>
      </c>
      <c r="K10" s="9">
        <v>0</v>
      </c>
      <c r="L10" s="12">
        <f>E10*(1-F10)</f>
        <v>0.042</v>
      </c>
      <c r="M10" s="12">
        <f>E10*(1-G10)</f>
        <v>0.042</v>
      </c>
    </row>
    <row r="11" spans="1:13">
      <c r="A11" s="5" t="s">
        <v>36</v>
      </c>
      <c r="B11" s="5" t="s">
        <v>90</v>
      </c>
      <c r="C11" s="5" t="s">
        <v>91</v>
      </c>
      <c r="D11" s="5" t="s">
        <v>92</v>
      </c>
      <c r="E11" s="9">
        <v>0.04</v>
      </c>
      <c r="F11" s="9">
        <v>0.15</v>
      </c>
      <c r="G11" s="9">
        <v>0.15</v>
      </c>
      <c r="H11" s="9">
        <v>0</v>
      </c>
      <c r="I11" s="9">
        <v>0</v>
      </c>
      <c r="J11" s="9">
        <v>1</v>
      </c>
      <c r="K11" s="9">
        <v>0</v>
      </c>
      <c r="L11" s="12">
        <f>E11*(1-F11)</f>
        <v>0.034</v>
      </c>
      <c r="M11" s="12">
        <f>E11*(1-G11)</f>
        <v>0.034</v>
      </c>
    </row>
    <row r="12" spans="1:13">
      <c r="A12" s="5" t="s">
        <v>36</v>
      </c>
      <c r="B12" s="5" t="s">
        <v>93</v>
      </c>
      <c r="C12" s="5" t="s">
        <v>94</v>
      </c>
      <c r="D12" s="5" t="s">
        <v>95</v>
      </c>
      <c r="E12" s="9">
        <v>0.08</v>
      </c>
      <c r="F12" s="9">
        <v>0.5</v>
      </c>
      <c r="G12" s="9">
        <v>0.5</v>
      </c>
      <c r="H12" s="9">
        <v>0</v>
      </c>
      <c r="I12" s="9">
        <v>0</v>
      </c>
      <c r="J12" s="9">
        <v>1</v>
      </c>
      <c r="K12" s="9">
        <v>0</v>
      </c>
      <c r="L12" s="12">
        <f>E12*(1-F12)</f>
        <v>0.04</v>
      </c>
      <c r="M12" s="12">
        <f>E12*(1-G12)</f>
        <v>0.04</v>
      </c>
    </row>
    <row r="13" spans="1:13">
      <c r="A13" s="5" t="s">
        <v>36</v>
      </c>
      <c r="B13" s="5" t="s">
        <v>93</v>
      </c>
      <c r="C13" s="5" t="s">
        <v>96</v>
      </c>
      <c r="D13" s="5" t="s">
        <v>97</v>
      </c>
      <c r="E13" s="9">
        <v>0.08</v>
      </c>
      <c r="F13" s="9">
        <v>0.4</v>
      </c>
      <c r="G13" s="9">
        <v>0.4</v>
      </c>
      <c r="H13" s="9">
        <v>0</v>
      </c>
      <c r="I13" s="9">
        <v>0</v>
      </c>
      <c r="J13" s="9">
        <v>1</v>
      </c>
      <c r="K13" s="9">
        <v>0</v>
      </c>
      <c r="L13" s="12">
        <f>E13*(1-F13)</f>
        <v>0.048</v>
      </c>
      <c r="M13" s="12">
        <f>E13*(1-G13)</f>
        <v>0.048</v>
      </c>
    </row>
    <row r="14" spans="1:13">
      <c r="A14" s="5" t="s">
        <v>36</v>
      </c>
      <c r="B14" s="5" t="s">
        <v>93</v>
      </c>
      <c r="C14" s="5" t="s">
        <v>98</v>
      </c>
      <c r="D14" s="5" t="s">
        <v>99</v>
      </c>
      <c r="E14" s="9">
        <v>0.1</v>
      </c>
      <c r="F14" s="9">
        <v>0.5</v>
      </c>
      <c r="G14" s="9">
        <v>0.5</v>
      </c>
      <c r="H14" s="9">
        <v>0</v>
      </c>
      <c r="I14" s="9">
        <v>0</v>
      </c>
      <c r="J14" s="9">
        <v>1</v>
      </c>
      <c r="K14" s="9">
        <v>0</v>
      </c>
      <c r="L14" s="12">
        <f>E14*(1-F14)</f>
        <v>0.05</v>
      </c>
      <c r="M14" s="12">
        <f>E14*(1-G14)</f>
        <v>0.05</v>
      </c>
    </row>
    <row r="15" spans="1:13">
      <c r="A15" s="5" t="s">
        <v>36</v>
      </c>
      <c r="B15" s="5" t="s">
        <v>93</v>
      </c>
      <c r="C15" s="5" t="s">
        <v>100</v>
      </c>
      <c r="D15" s="5" t="s">
        <v>101</v>
      </c>
      <c r="E15" s="9">
        <v>0.06</v>
      </c>
      <c r="F15" s="9">
        <v>0.25</v>
      </c>
      <c r="G15" s="9">
        <v>0.25</v>
      </c>
      <c r="H15" s="9">
        <v>0</v>
      </c>
      <c r="I15" s="9">
        <v>0.5</v>
      </c>
      <c r="J15" s="9">
        <v>0.5</v>
      </c>
      <c r="K15" s="9">
        <v>0</v>
      </c>
      <c r="L15" s="12">
        <f>E15*(1-F15)</f>
        <v>0.045</v>
      </c>
      <c r="M15" s="12">
        <f>E15*(1-G15)</f>
        <v>0.045</v>
      </c>
    </row>
    <row r="16" spans="1:13">
      <c r="A16" s="5" t="s">
        <v>36</v>
      </c>
      <c r="B16" s="5" t="s">
        <v>93</v>
      </c>
      <c r="C16" s="5" t="s">
        <v>102</v>
      </c>
      <c r="D16" s="5" t="s">
        <v>103</v>
      </c>
      <c r="E16" s="9">
        <v>0.08</v>
      </c>
      <c r="F16" s="9">
        <v>0.05</v>
      </c>
      <c r="G16" s="9">
        <v>0.05</v>
      </c>
      <c r="H16" s="9">
        <v>0.5</v>
      </c>
      <c r="I16" s="9">
        <v>0</v>
      </c>
      <c r="J16" s="9">
        <v>0.5</v>
      </c>
      <c r="K16" s="9">
        <v>0</v>
      </c>
      <c r="L16" s="12">
        <f>E16*(1-F16)</f>
        <v>0.076</v>
      </c>
      <c r="M16" s="12">
        <f>E16*(1-G16)</f>
        <v>0.076</v>
      </c>
    </row>
    <row r="17" spans="1:13">
      <c r="A17" s="5" t="s">
        <v>41</v>
      </c>
      <c r="B17" s="5" t="s">
        <v>41</v>
      </c>
      <c r="C17" s="5" t="s">
        <v>104</v>
      </c>
      <c r="D17" s="5" t="s">
        <v>105</v>
      </c>
      <c r="E17" s="9">
        <v>0.15</v>
      </c>
      <c r="F17" s="9">
        <v>0.5</v>
      </c>
      <c r="G17" s="9">
        <v>0.9</v>
      </c>
      <c r="H17" s="9">
        <v>1</v>
      </c>
      <c r="I17" s="9">
        <v>0</v>
      </c>
      <c r="J17" s="9">
        <v>0</v>
      </c>
      <c r="K17" s="9">
        <v>0</v>
      </c>
      <c r="L17" s="12">
        <f>E17*(1-F17)</f>
        <v>0.075</v>
      </c>
      <c r="M17" s="12">
        <f>E17*(1-G17)</f>
        <v>0.015</v>
      </c>
    </row>
    <row r="18" spans="1:13">
      <c r="A18" s="5" t="s">
        <v>41</v>
      </c>
      <c r="B18" s="5" t="s">
        <v>41</v>
      </c>
      <c r="C18" s="5" t="s">
        <v>106</v>
      </c>
      <c r="D18" s="5" t="s">
        <v>107</v>
      </c>
      <c r="E18" s="9">
        <v>0.4</v>
      </c>
      <c r="F18" s="9">
        <v>0.3</v>
      </c>
      <c r="G18" s="9">
        <v>0.45</v>
      </c>
      <c r="H18" s="9">
        <v>0.5</v>
      </c>
      <c r="I18" s="9">
        <v>0.5</v>
      </c>
      <c r="J18" s="9">
        <v>0</v>
      </c>
      <c r="K18" s="9">
        <v>0</v>
      </c>
      <c r="L18" s="12">
        <f>E18*(1-F18)</f>
        <v>0.28</v>
      </c>
      <c r="M18" s="12">
        <f>E18*(1-G18)</f>
        <v>0.22</v>
      </c>
    </row>
    <row r="19" spans="1:13">
      <c r="A19" s="5" t="s">
        <v>41</v>
      </c>
      <c r="B19" s="5" t="s">
        <v>41</v>
      </c>
      <c r="C19" s="5" t="s">
        <v>108</v>
      </c>
      <c r="D19" s="5" t="s">
        <v>109</v>
      </c>
      <c r="E19" s="9">
        <v>0.2</v>
      </c>
      <c r="F19" s="9">
        <v>0.35</v>
      </c>
      <c r="G19" s="9">
        <v>0.4</v>
      </c>
      <c r="H19" s="9">
        <v>0</v>
      </c>
      <c r="I19" s="9">
        <v>1</v>
      </c>
      <c r="J19" s="9">
        <v>0</v>
      </c>
      <c r="K19" s="9">
        <v>0</v>
      </c>
      <c r="L19" s="12">
        <f>E19*(1-F19)</f>
        <v>0.13</v>
      </c>
      <c r="M19" s="12">
        <f>E19*(1-G19)</f>
        <v>0.12</v>
      </c>
    </row>
    <row r="20" spans="1:13">
      <c r="A20" s="5" t="s">
        <v>41</v>
      </c>
      <c r="B20" s="5" t="s">
        <v>41</v>
      </c>
      <c r="C20" s="5" t="s">
        <v>110</v>
      </c>
      <c r="D20" s="5" t="s">
        <v>111</v>
      </c>
      <c r="E20" s="9">
        <v>0.15</v>
      </c>
      <c r="F20" s="9">
        <v>0.3</v>
      </c>
      <c r="G20" s="9">
        <v>0.8</v>
      </c>
      <c r="H20" s="9">
        <v>1</v>
      </c>
      <c r="I20" s="9">
        <v>0</v>
      </c>
      <c r="J20" s="9">
        <v>0</v>
      </c>
      <c r="K20" s="9">
        <v>0</v>
      </c>
      <c r="L20" s="12">
        <f>E20*(1-F20)</f>
        <v>0.105</v>
      </c>
      <c r="M20" s="12">
        <f>E20*(1-G20)</f>
        <v>0.03</v>
      </c>
    </row>
    <row r="21" spans="1:13">
      <c r="A21" s="5" t="s">
        <v>41</v>
      </c>
      <c r="B21" s="5" t="s">
        <v>41</v>
      </c>
      <c r="C21" s="5" t="s">
        <v>112</v>
      </c>
      <c r="D21" s="5" t="s">
        <v>113</v>
      </c>
      <c r="E21" s="9">
        <v>0.1</v>
      </c>
      <c r="F21" s="9">
        <v>0.2</v>
      </c>
      <c r="G21" s="9">
        <v>0.3</v>
      </c>
      <c r="H21" s="9">
        <v>0</v>
      </c>
      <c r="I21" s="9">
        <v>0</v>
      </c>
      <c r="J21" s="9">
        <v>1</v>
      </c>
      <c r="K21" s="9">
        <v>0</v>
      </c>
      <c r="L21" s="12">
        <f>E21*(1-F21)</f>
        <v>0.08</v>
      </c>
      <c r="M21" s="12">
        <f>E21*(1-G21)</f>
        <v>0.07</v>
      </c>
    </row>
    <row r="22" spans="1:13">
      <c r="A22" s="5" t="s">
        <v>40</v>
      </c>
      <c r="B22" s="5" t="s">
        <v>40</v>
      </c>
      <c r="C22" s="5" t="s">
        <v>114</v>
      </c>
      <c r="D22" s="5" t="s">
        <v>115</v>
      </c>
      <c r="E22" s="9">
        <v>0.5</v>
      </c>
      <c r="F22" s="9">
        <v>0.2</v>
      </c>
      <c r="G22" s="9">
        <v>0.2</v>
      </c>
      <c r="H22" s="9">
        <v>1</v>
      </c>
      <c r="I22" s="9">
        <v>0</v>
      </c>
      <c r="J22" s="9">
        <v>0</v>
      </c>
      <c r="K22" s="9">
        <v>1</v>
      </c>
      <c r="L22" s="12">
        <f>E22*(1-F22)</f>
        <v>0.4</v>
      </c>
      <c r="M22" s="12">
        <f>E22*(1-G22)</f>
        <v>0.4</v>
      </c>
    </row>
    <row r="23" spans="1:13">
      <c r="A23" s="5" t="s">
        <v>40</v>
      </c>
      <c r="B23" s="5" t="s">
        <v>40</v>
      </c>
      <c r="C23" s="5" t="s">
        <v>116</v>
      </c>
      <c r="D23" s="5" t="s">
        <v>117</v>
      </c>
      <c r="E23" s="9">
        <v>0.25</v>
      </c>
      <c r="F23" s="9">
        <v>0.2</v>
      </c>
      <c r="G23" s="9">
        <v>0.5</v>
      </c>
      <c r="H23" s="9">
        <v>0</v>
      </c>
      <c r="I23" s="9">
        <v>0.5</v>
      </c>
      <c r="J23" s="9">
        <v>0.5</v>
      </c>
      <c r="K23" s="9">
        <v>0</v>
      </c>
      <c r="L23" s="12">
        <f>E23*(1-F23)</f>
        <v>0.2</v>
      </c>
      <c r="M23" s="12">
        <f>E23*(1-G23)</f>
        <v>0.125</v>
      </c>
    </row>
    <row r="24" spans="1:13">
      <c r="A24" s="5" t="s">
        <v>40</v>
      </c>
      <c r="B24" s="5" t="s">
        <v>40</v>
      </c>
      <c r="C24" s="5" t="s">
        <v>118</v>
      </c>
      <c r="D24" s="5" t="s">
        <v>119</v>
      </c>
      <c r="E24" s="9">
        <v>0.25</v>
      </c>
      <c r="F24" s="9">
        <v>0.2</v>
      </c>
      <c r="G24" s="9">
        <v>0.35</v>
      </c>
      <c r="H24" s="9">
        <v>0.5</v>
      </c>
      <c r="I24" s="9">
        <v>0</v>
      </c>
      <c r="J24" s="9">
        <v>0.5</v>
      </c>
      <c r="K24" s="9">
        <v>0</v>
      </c>
      <c r="L24" s="12">
        <f>E24*(1-F24)</f>
        <v>0.2</v>
      </c>
      <c r="M24" s="12">
        <f>E24*(1-G24)</f>
        <v>0.1625</v>
      </c>
    </row>
    <row r="25" spans="1:13">
      <c r="A25" s="5" t="s">
        <v>43</v>
      </c>
      <c r="B25" s="5" t="s">
        <v>43</v>
      </c>
      <c r="C25" s="5" t="s">
        <v>120</v>
      </c>
      <c r="D25" s="5" t="s">
        <v>121</v>
      </c>
      <c r="E25" s="9">
        <v>0.5</v>
      </c>
      <c r="F25" s="9">
        <v>0</v>
      </c>
      <c r="G25" s="9">
        <v>0.2</v>
      </c>
      <c r="H25" s="9">
        <v>1</v>
      </c>
      <c r="I25" s="9">
        <v>0</v>
      </c>
      <c r="J25" s="9">
        <v>0</v>
      </c>
      <c r="K25" s="9">
        <v>0</v>
      </c>
      <c r="L25" s="12">
        <f>E25*(1-F25)</f>
        <v>0.5</v>
      </c>
      <c r="M25" s="12">
        <f>E25*(1-G25)</f>
        <v>0.4</v>
      </c>
    </row>
    <row r="26" spans="1:13">
      <c r="A26" s="5" t="s">
        <v>43</v>
      </c>
      <c r="B26" s="5" t="s">
        <v>43</v>
      </c>
      <c r="C26" s="5" t="s">
        <v>122</v>
      </c>
      <c r="D26" s="5" t="s">
        <v>123</v>
      </c>
      <c r="E26" s="9">
        <v>0.5</v>
      </c>
      <c r="F26" s="9">
        <v>0.3</v>
      </c>
      <c r="G26" s="9">
        <v>0.65</v>
      </c>
      <c r="H26" s="9">
        <v>0.5</v>
      </c>
      <c r="I26" s="9">
        <v>0.5</v>
      </c>
      <c r="J26" s="9">
        <v>0</v>
      </c>
      <c r="K26" s="9">
        <v>0</v>
      </c>
      <c r="L26" s="12">
        <f>E26*(1-F26)</f>
        <v>0.35</v>
      </c>
      <c r="M26" s="12">
        <f>E26*(1-G26)</f>
        <v>0.175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1"/>
  <sheetViews>
    <sheetView workbookViewId="0"/>
  </sheetViews>
  <sheetFormatPr defaultRowHeight="15"/>
  <cols>
    <col min="1" max="1" width="42.7109375" customWidth="1"/>
    <col min="2" max="10" width="13.7109375" customWidth="1"/>
  </cols>
  <sheetData>
    <row r="1" spans="1:7">
      <c r="A1" s="1" t="s">
        <v>124</v>
      </c>
    </row>
    <row r="3" spans="1:7">
      <c r="A3" s="4" t="s">
        <v>33</v>
      </c>
      <c r="B3" s="4" t="s">
        <v>125</v>
      </c>
      <c r="C3" s="4" t="s">
        <v>126</v>
      </c>
      <c r="D3" s="4" t="s">
        <v>127</v>
      </c>
      <c r="E3" s="4" t="s">
        <v>128</v>
      </c>
      <c r="F3" s="4" t="s">
        <v>129</v>
      </c>
      <c r="G3" s="4" t="s">
        <v>130</v>
      </c>
    </row>
    <row r="4" spans="1:7">
      <c r="A4" s="5" t="s">
        <v>36</v>
      </c>
      <c r="B4" s="12">
        <f>SUMIF('Атомы'!$A$5:$A$26,A4,'Атомы'!$E$5:$E$26)</f>
        <v>1</v>
      </c>
      <c r="C4" s="12">
        <f>1-SUMIF('Атомы'!$A$5:$A$26,A4,'Атомы'!$L$5:$L$26)/B4</f>
        <v>0.344</v>
      </c>
      <c r="D4" s="12">
        <f>1-SUMIF('Атомы'!$A$5:$A$26,A4,'Атомы'!$M$5:$M$26)/B4</f>
        <v>0.344</v>
      </c>
      <c r="E4" s="12">
        <f>SUMPRODUCT(('Атомы'!$A$5:$A$26=$A4)*'Атомы'!$E$5:$E$26*'Атомы'!$K$5:$K$26)/B4</f>
        <v>0.14</v>
      </c>
      <c r="F4" s="12">
        <f>SUMPRODUCT(('Атомы'!$A$5:$A$26=$A4)*'Атомы'!$L$5:$L$26*'Атомы'!$K$5:$K$26)/B4</f>
        <v>0.1092</v>
      </c>
      <c r="G4" s="12">
        <f>SUMPRODUCT(('Атомы'!$A$5:$A$26=$A4)*'Атомы'!$M$5:$M$26*'Атомы'!$K$5:$K$26)/B4</f>
        <v>0.1092</v>
      </c>
    </row>
    <row r="5" spans="1:7">
      <c r="A5" s="5" t="s">
        <v>41</v>
      </c>
      <c r="B5" s="12">
        <f>SUMIF('Атомы'!$A$5:$A$26,A5,'Атомы'!$E$5:$E$26)</f>
        <v>1</v>
      </c>
      <c r="C5" s="12">
        <f>1-SUMIF('Атомы'!$A$5:$A$26,A5,'Атомы'!$L$5:$L$26)/B5</f>
        <v>0.33</v>
      </c>
      <c r="D5" s="12">
        <f>1-SUMIF('Атомы'!$A$5:$A$26,A5,'Атомы'!$M$5:$M$26)/B5</f>
        <v>0.545</v>
      </c>
      <c r="E5" s="12">
        <f>SUMPRODUCT(('Атомы'!$A$5:$A$26=$A5)*'Атомы'!$E$5:$E$26*'Атомы'!$K$5:$K$26)/B5</f>
        <v>0</v>
      </c>
      <c r="F5" s="12">
        <f>SUMPRODUCT(('Атомы'!$A$5:$A$26=$A5)*'Атомы'!$L$5:$L$26*'Атомы'!$K$5:$K$26)/B5</f>
        <v>0</v>
      </c>
      <c r="G5" s="12">
        <f>SUMPRODUCT(('Атомы'!$A$5:$A$26=$A5)*'Атомы'!$M$5:$M$26*'Атомы'!$K$5:$K$26)/B5</f>
        <v>0</v>
      </c>
    </row>
    <row r="6" spans="1:7">
      <c r="A6" s="5" t="s">
        <v>40</v>
      </c>
      <c r="B6" s="12">
        <f>SUMIF('Атомы'!$A$5:$A$26,A6,'Атомы'!$E$5:$E$26)</f>
        <v>1</v>
      </c>
      <c r="C6" s="12">
        <f>1-SUMIF('Атомы'!$A$5:$A$26,A6,'Атомы'!$L$5:$L$26)/B6</f>
        <v>0.2</v>
      </c>
      <c r="D6" s="12">
        <f>1-SUMIF('Атомы'!$A$5:$A$26,A6,'Атомы'!$M$5:$M$26)/B6</f>
        <v>0.3125</v>
      </c>
      <c r="E6" s="12">
        <f>SUMPRODUCT(('Атомы'!$A$5:$A$26=$A6)*'Атомы'!$E$5:$E$26*'Атомы'!$K$5:$K$26)/B6</f>
        <v>0.5</v>
      </c>
      <c r="F6" s="12">
        <f>SUMPRODUCT(('Атомы'!$A$5:$A$26=$A6)*'Атомы'!$L$5:$L$26*'Атомы'!$K$5:$K$26)/B6</f>
        <v>0.4</v>
      </c>
      <c r="G6" s="12">
        <f>SUMPRODUCT(('Атомы'!$A$5:$A$26=$A6)*'Атомы'!$M$5:$M$26*'Атомы'!$K$5:$K$26)/B6</f>
        <v>0.4</v>
      </c>
    </row>
    <row r="7" spans="1:7">
      <c r="A7" s="5" t="s">
        <v>43</v>
      </c>
      <c r="B7" s="12">
        <f>SUMIF('Атомы'!$A$5:$A$26,A7,'Атомы'!$E$5:$E$26)</f>
        <v>1</v>
      </c>
      <c r="C7" s="12">
        <f>1-SUMIF('Атомы'!$A$5:$A$26,A7,'Атомы'!$L$5:$L$26)/B7</f>
        <v>0.15</v>
      </c>
      <c r="D7" s="12">
        <f>1-SUMIF('Атомы'!$A$5:$A$26,A7,'Атомы'!$M$5:$M$26)/B7</f>
        <v>0.425</v>
      </c>
      <c r="E7" s="12">
        <f>SUMPRODUCT(('Атомы'!$A$5:$A$26=$A7)*'Атомы'!$E$5:$E$26*'Атомы'!$K$5:$K$26)/B7</f>
        <v>0</v>
      </c>
      <c r="F7" s="12">
        <f>SUMPRODUCT(('Атомы'!$A$5:$A$26=$A7)*'Атомы'!$L$5:$L$26*'Атомы'!$K$5:$K$26)/B7</f>
        <v>0</v>
      </c>
      <c r="G7" s="12">
        <f>SUMPRODUCT(('Атомы'!$A$5:$A$26=$A7)*'Атомы'!$M$5:$M$26*'Атомы'!$K$5:$K$26)/B7</f>
        <v>0</v>
      </c>
    </row>
    <row r="9" spans="1:7">
      <c r="A9" s="4" t="s">
        <v>30</v>
      </c>
      <c r="B9" s="4" t="s">
        <v>131</v>
      </c>
      <c r="C9" s="4" t="s">
        <v>63</v>
      </c>
      <c r="D9" s="4" t="s">
        <v>132</v>
      </c>
      <c r="E9" s="4" t="s">
        <v>133</v>
      </c>
    </row>
    <row r="10" spans="1:7">
      <c r="A10" s="5" t="str">
        <f>'Параметры'!A14</f>
        <v>Заказные доработки</v>
      </c>
      <c r="B10" s="10">
        <f>'Параметры'!C14</f>
        <v>9.6</v>
      </c>
      <c r="C10" s="5" t="str">
        <f>'Параметры'!D14</f>
        <v>Изменения</v>
      </c>
      <c r="D10" s="12">
        <f>INDEX($C$4:$C$7,MATCH(C10,$A$4:$A$7,0))</f>
        <v>0.344</v>
      </c>
      <c r="E10" s="10">
        <f>B10*(1-'Параметры'!$B$23*D10)</f>
        <v>6.2976</v>
      </c>
    </row>
    <row r="11" spans="1:7">
      <c r="A11" s="5" t="str">
        <f>'Параметры'!A15</f>
        <v>Поддержка законодательства</v>
      </c>
      <c r="B11" s="10">
        <f>'Параметры'!C15</f>
        <v>14.4</v>
      </c>
      <c r="C11" s="5" t="str">
        <f>'Параметры'!D15</f>
        <v>Изменения</v>
      </c>
      <c r="D11" s="12">
        <f>INDEX($C$4:$C$7,MATCH(C11,$A$4:$A$7,0))</f>
        <v>0.344</v>
      </c>
      <c r="E11" s="10">
        <f>B11*(1-'Параметры'!$B$23*D11)</f>
        <v>9.4464</v>
      </c>
    </row>
    <row r="12" spans="1:7">
      <c r="A12" s="5" t="str">
        <f>'Параметры'!A16</f>
        <v>Развитие продукта</v>
      </c>
      <c r="B12" s="10">
        <f>'Параметры'!C16</f>
        <v>4.8</v>
      </c>
      <c r="C12" s="5" t="str">
        <f>'Параметры'!D16</f>
        <v>Изменения</v>
      </c>
      <c r="D12" s="12">
        <f>INDEX($C$4:$C$7,MATCH(C12,$A$4:$A$7,0))</f>
        <v>0.344</v>
      </c>
      <c r="E12" s="10">
        <f>B12*(1-'Параметры'!$B$23*D12)</f>
        <v>3.1488</v>
      </c>
    </row>
    <row r="13" spans="1:7">
      <c r="A13" s="5" t="str">
        <f>'Параметры'!A17</f>
        <v>Поддержка проектов внедрения</v>
      </c>
      <c r="B13" s="10">
        <f>'Параметры'!C17</f>
        <v>4.8</v>
      </c>
      <c r="C13" s="5" t="str">
        <f>'Параметры'!D17</f>
        <v>Внедрение</v>
      </c>
      <c r="D13" s="12">
        <f>INDEX($C$4:$C$7,MATCH(C13,$A$4:$A$7,0))</f>
        <v>0.2</v>
      </c>
      <c r="E13" s="10">
        <f>B13*(1-'Параметры'!$B$23*D13)</f>
        <v>3.84</v>
      </c>
    </row>
    <row r="14" spans="1:7">
      <c r="A14" s="5" t="str">
        <f>'Параметры'!A18</f>
        <v>Сопровождение</v>
      </c>
      <c r="B14" s="10">
        <f>'Параметры'!C18</f>
        <v>12</v>
      </c>
      <c r="C14" s="5" t="str">
        <f>'Параметры'!D18</f>
        <v>Сопровождение</v>
      </c>
      <c r="D14" s="12">
        <f>INDEX($C$4:$C$7,MATCH(C14,$A$4:$A$7,0))</f>
        <v>0.33</v>
      </c>
      <c r="E14" s="10">
        <f>B14*(1-'Параметры'!$B$23*D14)</f>
        <v>8.04</v>
      </c>
    </row>
    <row r="15" spans="1:7">
      <c r="A15" s="5" t="str">
        <f>'Параметры'!A19</f>
        <v>Пресейлы и обследования</v>
      </c>
      <c r="B15" s="10">
        <f>'Параметры'!C19</f>
        <v>2.4</v>
      </c>
      <c r="C15" s="5" t="str">
        <f>'Параметры'!D19</f>
        <v>Пресейлы</v>
      </c>
      <c r="D15" s="12">
        <f>INDEX($C$4:$C$7,MATCH(C15,$A$4:$A$7,0))</f>
        <v>0.15</v>
      </c>
      <c r="E15" s="10">
        <f>B15*(1-'Параметры'!$B$23*D15)</f>
        <v>2.04</v>
      </c>
    </row>
    <row r="16" spans="1:7">
      <c r="A16" s="7" t="s">
        <v>134</v>
      </c>
      <c r="B16" s="8">
        <f>SUM(B10:B15)</f>
        <v>48</v>
      </c>
      <c r="E16" s="8">
        <f>SUM(E10:E15)</f>
        <v>32.8128</v>
      </c>
    </row>
    <row r="17" spans="1:7">
      <c r="A17" s="5" t="s">
        <v>135</v>
      </c>
      <c r="E17" s="10">
        <f>E16*'Параметры'!B24</f>
        <v>1.64064</v>
      </c>
    </row>
    <row r="18" spans="1:7">
      <c r="A18" s="5" t="s">
        <v>136</v>
      </c>
      <c r="E18" s="10">
        <f>SUMIF(C10:C15,"Изменения",E10:E15)*'Параметры'!B25*'Параметры'!B26</f>
        <v>0.94464</v>
      </c>
    </row>
    <row r="19" spans="1:7">
      <c r="A19" s="7" t="s">
        <v>137</v>
      </c>
      <c r="E19" s="8">
        <f>E16+E17-E18</f>
        <v>33.5088</v>
      </c>
    </row>
    <row r="20" spans="1:7">
      <c r="A20" s="7" t="s">
        <v>138</v>
      </c>
      <c r="E20" s="11">
        <f>1-E19/B16</f>
        <v>0.3019</v>
      </c>
    </row>
    <row r="22" spans="1:7">
      <c r="A22" s="4" t="s">
        <v>139</v>
      </c>
      <c r="B22" s="4" t="s">
        <v>140</v>
      </c>
      <c r="C22" s="4" t="s">
        <v>141</v>
      </c>
      <c r="D22" s="4" t="s">
        <v>142</v>
      </c>
      <c r="E22" s="4" t="s">
        <v>143</v>
      </c>
      <c r="F22" s="4" t="s">
        <v>144</v>
      </c>
      <c r="G22" s="4" t="s">
        <v>145</v>
      </c>
    </row>
    <row r="23" spans="1:7">
      <c r="A23" s="5" t="s">
        <v>36</v>
      </c>
      <c r="B23" s="12">
        <f>SUMPRODUCT(('Атомы'!$A$5:$A$26=$A23)*'Атомы'!$E$5:$E$26*'Атомы'!$H$5:$H$26)/INDEX($B$4:$B$7,MATCH($A23,$A$4:$A$7,0))</f>
        <v>0.34</v>
      </c>
      <c r="C23" s="12">
        <f>SUMPRODUCT(('Атомы'!$A$5:$A$26=$A23)*'Атомы'!$E$5:$E$26*'Атомы'!$I$5:$I$26)/INDEX($B$4:$B$7,MATCH($A23,$A$4:$A$7,0))</f>
        <v>0.29</v>
      </c>
      <c r="D23" s="12">
        <f>SUMPRODUCT(('Атомы'!$A$5:$A$26=$A23)*'Атомы'!$E$5:$E$26*'Атомы'!$J$5:$J$26)/INDEX($B$4:$B$7,MATCH($A23,$A$4:$A$7,0))</f>
        <v>0.37</v>
      </c>
      <c r="E23" s="12">
        <f>SUMPRODUCT(('Атомы'!$A$5:$A$26=$A23)*'Атомы'!$L$5:$L$26*'Атомы'!$H$5:$H$26)/INDEX($B$4:$B$7,MATCH($A23,$A$4:$A$7,0))</f>
        <v>0.244</v>
      </c>
      <c r="F23" s="12">
        <f>SUMPRODUCT(('Атомы'!$A$5:$A$26=$A23)*'Атомы'!$L$5:$L$26*'Атомы'!$I$5:$I$26)/INDEX($B$4:$B$7,MATCH($A23,$A$4:$A$7,0))</f>
        <v>0.1795</v>
      </c>
      <c r="G23" s="12">
        <f>SUMPRODUCT(('Атомы'!$A$5:$A$26=$A23)*'Атомы'!$L$5:$L$26*'Атомы'!$J$5:$J$26)/INDEX($B$4:$B$7,MATCH($A23,$A$4:$A$7,0))</f>
        <v>0.2325</v>
      </c>
    </row>
    <row r="24" spans="1:7">
      <c r="A24" s="5" t="s">
        <v>41</v>
      </c>
      <c r="B24" s="12">
        <f>SUMPRODUCT(('Атомы'!$A$5:$A$26=$A24)*'Атомы'!$E$5:$E$26*'Атомы'!$H$5:$H$26)/INDEX($B$4:$B$7,MATCH($A24,$A$4:$A$7,0))</f>
        <v>0.5</v>
      </c>
      <c r="C24" s="12">
        <f>SUMPRODUCT(('Атомы'!$A$5:$A$26=$A24)*'Атомы'!$E$5:$E$26*'Атомы'!$I$5:$I$26)/INDEX($B$4:$B$7,MATCH($A24,$A$4:$A$7,0))</f>
        <v>0.4</v>
      </c>
      <c r="D24" s="12">
        <f>SUMPRODUCT(('Атомы'!$A$5:$A$26=$A24)*'Атомы'!$E$5:$E$26*'Атомы'!$J$5:$J$26)/INDEX($B$4:$B$7,MATCH($A24,$A$4:$A$7,0))</f>
        <v>0.1</v>
      </c>
      <c r="E24" s="12">
        <f>SUMPRODUCT(('Атомы'!$A$5:$A$26=$A24)*'Атомы'!$L$5:$L$26*'Атомы'!$H$5:$H$26)/INDEX($B$4:$B$7,MATCH($A24,$A$4:$A$7,0))</f>
        <v>0.32</v>
      </c>
      <c r="F24" s="12">
        <f>SUMPRODUCT(('Атомы'!$A$5:$A$26=$A24)*'Атомы'!$L$5:$L$26*'Атомы'!$I$5:$I$26)/INDEX($B$4:$B$7,MATCH($A24,$A$4:$A$7,0))</f>
        <v>0.27</v>
      </c>
      <c r="G24" s="12">
        <f>SUMPRODUCT(('Атомы'!$A$5:$A$26=$A24)*'Атомы'!$L$5:$L$26*'Атомы'!$J$5:$J$26)/INDEX($B$4:$B$7,MATCH($A24,$A$4:$A$7,0))</f>
        <v>0.08</v>
      </c>
    </row>
    <row r="25" spans="1:7">
      <c r="A25" s="5" t="s">
        <v>40</v>
      </c>
      <c r="B25" s="12">
        <f>SUMPRODUCT(('Атомы'!$A$5:$A$26=$A25)*'Атомы'!$E$5:$E$26*'Атомы'!$H$5:$H$26)/INDEX($B$4:$B$7,MATCH($A25,$A$4:$A$7,0))</f>
        <v>0.625</v>
      </c>
      <c r="C25" s="12">
        <f>SUMPRODUCT(('Атомы'!$A$5:$A$26=$A25)*'Атомы'!$E$5:$E$26*'Атомы'!$I$5:$I$26)/INDEX($B$4:$B$7,MATCH($A25,$A$4:$A$7,0))</f>
        <v>0.125</v>
      </c>
      <c r="D25" s="12">
        <f>SUMPRODUCT(('Атомы'!$A$5:$A$26=$A25)*'Атомы'!$E$5:$E$26*'Атомы'!$J$5:$J$26)/INDEX($B$4:$B$7,MATCH($A25,$A$4:$A$7,0))</f>
        <v>0.25</v>
      </c>
      <c r="E25" s="12">
        <f>SUMPRODUCT(('Атомы'!$A$5:$A$26=$A25)*'Атомы'!$L$5:$L$26*'Атомы'!$H$5:$H$26)/INDEX($B$4:$B$7,MATCH($A25,$A$4:$A$7,0))</f>
        <v>0.5</v>
      </c>
      <c r="F25" s="12">
        <f>SUMPRODUCT(('Атомы'!$A$5:$A$26=$A25)*'Атомы'!$L$5:$L$26*'Атомы'!$I$5:$I$26)/INDEX($B$4:$B$7,MATCH($A25,$A$4:$A$7,0))</f>
        <v>0.1</v>
      </c>
      <c r="G25" s="12">
        <f>SUMPRODUCT(('Атомы'!$A$5:$A$26=$A25)*'Атомы'!$L$5:$L$26*'Атомы'!$J$5:$J$26)/INDEX($B$4:$B$7,MATCH($A25,$A$4:$A$7,0))</f>
        <v>0.2</v>
      </c>
    </row>
    <row r="26" spans="1:7">
      <c r="A26" s="5" t="s">
        <v>43</v>
      </c>
      <c r="B26" s="12">
        <f>SUMPRODUCT(('Атомы'!$A$5:$A$26=$A26)*'Атомы'!$E$5:$E$26*'Атомы'!$H$5:$H$26)/INDEX($B$4:$B$7,MATCH($A26,$A$4:$A$7,0))</f>
        <v>0.75</v>
      </c>
      <c r="C26" s="12">
        <f>SUMPRODUCT(('Атомы'!$A$5:$A$26=$A26)*'Атомы'!$E$5:$E$26*'Атомы'!$I$5:$I$26)/INDEX($B$4:$B$7,MATCH($A26,$A$4:$A$7,0))</f>
        <v>0.25</v>
      </c>
      <c r="D26" s="12">
        <f>SUMPRODUCT(('Атомы'!$A$5:$A$26=$A26)*'Атомы'!$E$5:$E$26*'Атомы'!$J$5:$J$26)/INDEX($B$4:$B$7,MATCH($A26,$A$4:$A$7,0))</f>
        <v>0</v>
      </c>
      <c r="E26" s="12">
        <f>SUMPRODUCT(('Атомы'!$A$5:$A$26=$A26)*'Атомы'!$L$5:$L$26*'Атомы'!$H$5:$H$26)/INDEX($B$4:$B$7,MATCH($A26,$A$4:$A$7,0))</f>
        <v>0.675</v>
      </c>
      <c r="F26" s="12">
        <f>SUMPRODUCT(('Атомы'!$A$5:$A$26=$A26)*'Атомы'!$L$5:$L$26*'Атомы'!$I$5:$I$26)/INDEX($B$4:$B$7,MATCH($A26,$A$4:$A$7,0))</f>
        <v>0.175</v>
      </c>
      <c r="G26" s="12">
        <f>SUMPRODUCT(('Атомы'!$A$5:$A$26=$A26)*'Атомы'!$L$5:$L$26*'Атомы'!$J$5:$J$26)/INDEX($B$4:$B$7,MATCH($A26,$A$4:$A$7,0))</f>
        <v>0</v>
      </c>
    </row>
    <row r="28" spans="1:7">
      <c r="A28" s="4" t="s">
        <v>146</v>
      </c>
      <c r="B28" s="4" t="s">
        <v>131</v>
      </c>
    </row>
    <row r="29" spans="1:7">
      <c r="A29" s="5" t="s">
        <v>36</v>
      </c>
      <c r="B29" s="10">
        <f>SUMIF($C$10:$C$15,A29,$B$10:$B$15)</f>
        <v>28.8</v>
      </c>
    </row>
    <row r="30" spans="1:7">
      <c r="A30" s="5" t="s">
        <v>41</v>
      </c>
      <c r="B30" s="10">
        <f>SUMIF($C$10:$C$15,A30,$B$10:$B$15)</f>
        <v>12</v>
      </c>
    </row>
    <row r="31" spans="1:7">
      <c r="A31" s="5" t="s">
        <v>40</v>
      </c>
      <c r="B31" s="10">
        <f>SUMIF($C$10:$C$15,A31,$B$10:$B$15)</f>
        <v>4.8</v>
      </c>
    </row>
    <row r="32" spans="1:7">
      <c r="A32" s="5" t="s">
        <v>43</v>
      </c>
      <c r="B32" s="10">
        <f>SUMIF($C$10:$C$15,A32,$B$10:$B$15)</f>
        <v>2.4</v>
      </c>
    </row>
    <row r="34" spans="1:4">
      <c r="A34" s="4" t="s">
        <v>147</v>
      </c>
      <c r="B34" s="4" t="s">
        <v>148</v>
      </c>
      <c r="C34" s="4" t="s">
        <v>133</v>
      </c>
      <c r="D34" s="4" t="s">
        <v>20</v>
      </c>
    </row>
    <row r="35" spans="1:4">
      <c r="A35" s="5" t="s">
        <v>149</v>
      </c>
      <c r="B35" s="10">
        <f>SUMPRODUCT($B$29:$B$32,B23:B26)</f>
        <v>20.592</v>
      </c>
      <c r="C35" s="10">
        <f>SUMPRODUCT($B$29:$B$32,(1-'Параметры'!$B$23)*B23:B26+'Параметры'!$B$23*E23:E26)+$E$17*0-$E$18*'Параметры'!$B$31</f>
        <v>14.603808</v>
      </c>
      <c r="D35" s="10">
        <f>'Параметры'!$B$4*'Параметры'!$B$6</f>
        <v>12</v>
      </c>
    </row>
    <row r="36" spans="1:4">
      <c r="A36" s="5" t="s">
        <v>83</v>
      </c>
      <c r="B36" s="10">
        <f>SUMPRODUCT($B$29:$B$32,C23:C26)</f>
        <v>14.352</v>
      </c>
      <c r="C36" s="10">
        <f>SUMPRODUCT($B$29:$B$32,(1-'Параметры'!$B$23)*C23:C26+'Параметры'!$B$23*F23:F26)+$E$17*'Параметры'!$B$29-$E$18*'Параметры'!$B$32</f>
        <v>9.846528</v>
      </c>
      <c r="D36" s="10">
        <f>'Параметры'!$B$4*'Параметры'!$B$7</f>
        <v>24</v>
      </c>
    </row>
    <row r="37" spans="1:4">
      <c r="A37" s="5" t="s">
        <v>150</v>
      </c>
      <c r="B37" s="10">
        <f>SUMPRODUCT($B$29:$B$32,D23:D26)</f>
        <v>13.056</v>
      </c>
      <c r="C37" s="10">
        <f>SUMPRODUCT($B$29:$B$32,(1-'Параметры'!$B$23)*D23:D26+'Параметры'!$B$23*G23:G26)+$E$17*'Параметры'!$B$30-$E$18*'Параметры'!$B$33</f>
        <v>9.058464</v>
      </c>
      <c r="D37" s="10">
        <f>'Параметры'!$B$4*'Параметры'!$B$8</f>
        <v>12</v>
      </c>
    </row>
    <row r="38" spans="1:4">
      <c r="A38" s="7" t="s">
        <v>151</v>
      </c>
      <c r="B38" s="8">
        <f>SUM(B35:B37)</f>
        <v>48</v>
      </c>
      <c r="C38" s="8">
        <f>SUM(C35:C37)</f>
        <v>33.5088</v>
      </c>
      <c r="D38" s="8">
        <f>SUM(D35:D37)</f>
        <v>48</v>
      </c>
    </row>
    <row r="39" spans="1:4">
      <c r="A39" s="7" t="s">
        <v>152</v>
      </c>
      <c r="C39" s="8">
        <f>SUMPRODUCT($B$29:$B$32,(1-'Параметры'!$B$23)*$E$4:$E$7+'Параметры'!$B$23*$F$4:$F$7)</f>
        <v>5.06496</v>
      </c>
    </row>
    <row r="41" spans="1:4" ht="45" customHeight="1">
      <c r="A41" s="3" t="s">
        <v>153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62.7109375" customWidth="1"/>
    <col min="2" max="8" width="13.7109375" customWidth="1"/>
  </cols>
  <sheetData>
    <row r="1" spans="1:8">
      <c r="A1" s="1" t="s">
        <v>154</v>
      </c>
    </row>
    <row r="3" spans="1:8">
      <c r="A3" s="4" t="s">
        <v>155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  <c r="G3" s="4" t="s">
        <v>161</v>
      </c>
      <c r="H3" s="4" t="s">
        <v>162</v>
      </c>
    </row>
    <row r="4" spans="1:8">
      <c r="A4" s="5" t="s">
        <v>163</v>
      </c>
      <c r="B4" s="6">
        <v>1</v>
      </c>
      <c r="C4" s="6">
        <v>0</v>
      </c>
      <c r="D4" s="6">
        <v>5</v>
      </c>
      <c r="E4" s="6">
        <v>0</v>
      </c>
      <c r="F4" s="6">
        <v>0</v>
      </c>
      <c r="G4" s="13">
        <f>SUM(C4:F4)</f>
        <v>5</v>
      </c>
      <c r="H4" s="13">
        <f>B4*G4</f>
        <v>5</v>
      </c>
    </row>
    <row r="5" spans="1:8">
      <c r="A5" s="5" t="s">
        <v>164</v>
      </c>
      <c r="B5" s="6">
        <v>1</v>
      </c>
      <c r="C5" s="6">
        <v>1</v>
      </c>
      <c r="D5" s="6">
        <v>2</v>
      </c>
      <c r="E5" s="6">
        <v>2</v>
      </c>
      <c r="F5" s="6">
        <v>1</v>
      </c>
      <c r="G5" s="13">
        <f>SUM(C5:F5)</f>
        <v>6</v>
      </c>
      <c r="H5" s="13">
        <f>B5*G5</f>
        <v>6</v>
      </c>
    </row>
    <row r="6" spans="1:8">
      <c r="A6" s="5" t="s">
        <v>165</v>
      </c>
      <c r="B6" s="6">
        <v>1</v>
      </c>
      <c r="C6" s="6">
        <v>1</v>
      </c>
      <c r="D6" s="6">
        <v>2</v>
      </c>
      <c r="E6" s="6">
        <v>2</v>
      </c>
      <c r="F6" s="6">
        <v>1</v>
      </c>
      <c r="G6" s="13">
        <f>SUM(C6:F6)</f>
        <v>6</v>
      </c>
      <c r="H6" s="13">
        <f>B6*G6</f>
        <v>6</v>
      </c>
    </row>
    <row r="7" spans="1:8">
      <c r="A7" s="5" t="s">
        <v>166</v>
      </c>
      <c r="B7" s="6">
        <v>1</v>
      </c>
      <c r="C7" s="6">
        <v>1</v>
      </c>
      <c r="D7" s="6">
        <v>2</v>
      </c>
      <c r="E7" s="6">
        <v>2</v>
      </c>
      <c r="F7" s="6">
        <v>1</v>
      </c>
      <c r="G7" s="13">
        <f>SUM(C7:F7)</f>
        <v>6</v>
      </c>
      <c r="H7" s="13">
        <f>B7*G7</f>
        <v>6</v>
      </c>
    </row>
    <row r="8" spans="1:8">
      <c r="A8" s="5" t="s">
        <v>167</v>
      </c>
      <c r="B8" s="6">
        <v>1</v>
      </c>
      <c r="C8" s="6">
        <v>1</v>
      </c>
      <c r="D8" s="6">
        <v>1</v>
      </c>
      <c r="E8" s="6">
        <v>3</v>
      </c>
      <c r="F8" s="6">
        <v>2</v>
      </c>
      <c r="G8" s="13">
        <f>SUM(C8:F8)</f>
        <v>7</v>
      </c>
      <c r="H8" s="13">
        <f>B8*G8</f>
        <v>7</v>
      </c>
    </row>
    <row r="9" spans="1:8">
      <c r="A9" s="5" t="s">
        <v>168</v>
      </c>
      <c r="B9" s="6">
        <v>1</v>
      </c>
      <c r="C9" s="6">
        <v>1</v>
      </c>
      <c r="D9" s="6">
        <v>1</v>
      </c>
      <c r="E9" s="6">
        <v>2</v>
      </c>
      <c r="F9" s="6">
        <v>2</v>
      </c>
      <c r="G9" s="13">
        <f>SUM(C9:F9)</f>
        <v>6</v>
      </c>
      <c r="H9" s="13">
        <f>B9*G9</f>
        <v>6</v>
      </c>
    </row>
    <row r="10" spans="1:8">
      <c r="A10" s="5" t="s">
        <v>169</v>
      </c>
      <c r="H10" s="13">
        <f>'Параметры'!B9</f>
        <v>6</v>
      </c>
    </row>
    <row r="11" spans="1:8">
      <c r="A11" s="7" t="s">
        <v>170</v>
      </c>
      <c r="C11" s="14">
        <f>SUMPRODUCT($B$4:$B$9,C4:C9)</f>
        <v>5</v>
      </c>
      <c r="D11" s="14">
        <f>SUMPRODUCT($B$4:$B$9,D4:D9)</f>
        <v>13</v>
      </c>
      <c r="E11" s="14">
        <f>SUMPRODUCT($B$4:$B$9,E4:E9)</f>
        <v>11</v>
      </c>
      <c r="F11" s="14">
        <f>SUMPRODUCT($B$4:$B$9,F4:F9)</f>
        <v>7</v>
      </c>
      <c r="H11" s="14">
        <f>SUM(H4:H9)+H10</f>
        <v>42</v>
      </c>
    </row>
    <row r="12" spans="1:8">
      <c r="A12" s="5" t="s">
        <v>171</v>
      </c>
      <c r="H12" s="13">
        <f>'Параметры'!B11</f>
        <v>60</v>
      </c>
    </row>
    <row r="13" spans="1:8">
      <c r="A13" s="7" t="s">
        <v>172</v>
      </c>
      <c r="H13" s="11">
        <f>H11/H12-1</f>
        <v>-0.3</v>
      </c>
    </row>
    <row r="15" spans="1:8">
      <c r="A15" s="4" t="s">
        <v>173</v>
      </c>
      <c r="B15" s="4" t="s">
        <v>174</v>
      </c>
      <c r="C15" s="4" t="s">
        <v>133</v>
      </c>
      <c r="D15" s="4" t="s">
        <v>175</v>
      </c>
    </row>
    <row r="16" spans="1:8">
      <c r="A16" s="5" t="s">
        <v>149</v>
      </c>
      <c r="B16" s="10">
        <f>D11</f>
        <v>13</v>
      </c>
      <c r="C16" s="10">
        <f>'Расчёт'!C35</f>
        <v>14.603808</v>
      </c>
      <c r="D16" s="10">
        <f>B16-C16</f>
        <v>-1.603808</v>
      </c>
    </row>
    <row r="17" spans="1:4">
      <c r="A17" s="5" t="s">
        <v>83</v>
      </c>
      <c r="B17" s="10">
        <f>E11</f>
        <v>11</v>
      </c>
      <c r="C17" s="10">
        <f>'Расчёт'!C36</f>
        <v>9.846528</v>
      </c>
      <c r="D17" s="10">
        <f>B17-C17</f>
        <v>1.153472</v>
      </c>
    </row>
    <row r="18" spans="1:4">
      <c r="A18" s="5" t="s">
        <v>150</v>
      </c>
      <c r="B18" s="10">
        <f>F11</f>
        <v>7</v>
      </c>
      <c r="C18" s="10">
        <f>'Расчёт'!C37</f>
        <v>9.058464</v>
      </c>
      <c r="D18" s="10">
        <f>B18-C18</f>
        <v>-2.058464</v>
      </c>
    </row>
    <row r="19" spans="1:4">
      <c r="A19" s="5" t="s">
        <v>176</v>
      </c>
      <c r="B19" s="10">
        <f>C11*'Параметры'!B28</f>
        <v>2.5</v>
      </c>
      <c r="D19" s="10">
        <f>B19-C19</f>
        <v>2.5</v>
      </c>
    </row>
    <row r="20" spans="1:4">
      <c r="A20" s="7" t="s">
        <v>151</v>
      </c>
      <c r="B20" s="8">
        <f>SUM(B16:B19)</f>
        <v>33.5</v>
      </c>
      <c r="C20" s="8">
        <f>SUM(C16:C19)</f>
        <v>33.5088</v>
      </c>
      <c r="D20" s="8">
        <f>SUM(D16:D19)</f>
        <v>-0.00880000000000436</v>
      </c>
    </row>
    <row r="21" spans="1:4">
      <c r="A21" s="5" t="s">
        <v>177</v>
      </c>
      <c r="B21" s="10">
        <f>B4*D4</f>
        <v>5</v>
      </c>
      <c r="C21" s="10">
        <f>'Расчёт'!C39</f>
        <v>5.06496</v>
      </c>
      <c r="D21" s="10">
        <f>B21-C21</f>
        <v>-0.0649600000000001</v>
      </c>
    </row>
    <row r="23" spans="1:4">
      <c r="A23" s="7" t="s">
        <v>178</v>
      </c>
      <c r="B23" s="8">
        <f>B20-B21</f>
        <v>28.5</v>
      </c>
    </row>
    <row r="25" spans="1:4">
      <c r="A25" s="3" t="s">
        <v>179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2.7109375" customWidth="1"/>
    <col min="2" max="14" width="12.7109375" customWidth="1"/>
  </cols>
  <sheetData>
    <row r="1" spans="1:14">
      <c r="A1" s="1" t="s">
        <v>180</v>
      </c>
    </row>
    <row r="2" spans="1:14">
      <c r="A2" t="s">
        <v>181</v>
      </c>
    </row>
    <row r="4" spans="1:14">
      <c r="A4" s="4" t="s">
        <v>30</v>
      </c>
      <c r="B4" s="4" t="s">
        <v>131</v>
      </c>
      <c r="C4" s="4" t="s">
        <v>31</v>
      </c>
      <c r="D4" s="4" t="s">
        <v>63</v>
      </c>
      <c r="E4" s="4" t="s">
        <v>126</v>
      </c>
      <c r="F4" s="4" t="s">
        <v>129</v>
      </c>
      <c r="G4" s="4" t="s">
        <v>182</v>
      </c>
      <c r="H4" s="4" t="s">
        <v>183</v>
      </c>
      <c r="I4" s="4" t="s">
        <v>127</v>
      </c>
      <c r="J4" s="4" t="s">
        <v>130</v>
      </c>
      <c r="K4" s="4" t="s">
        <v>184</v>
      </c>
      <c r="L4" s="4" t="s">
        <v>185</v>
      </c>
      <c r="M4" s="4" t="s">
        <v>186</v>
      </c>
      <c r="N4" s="4" t="s">
        <v>187</v>
      </c>
    </row>
    <row r="5" spans="1:14">
      <c r="A5" s="5" t="str">
        <f>'Параметры'!A14</f>
        <v>Заказные доработки</v>
      </c>
      <c r="B5" s="10">
        <f>'Параметры'!C14</f>
        <v>9.6</v>
      </c>
      <c r="C5" s="12">
        <f>'Параметры'!B14</f>
        <v>0.2</v>
      </c>
      <c r="D5" s="5" t="str">
        <f>'Параметры'!D14</f>
        <v>Изменения</v>
      </c>
      <c r="E5" s="12">
        <f>INDEX('Расчёт'!$C$4:$C$7,MATCH($D5,'Расчёт'!$A$4:$A$7,0))</f>
        <v>0.344</v>
      </c>
      <c r="F5" s="12">
        <f>INDEX('Расчёт'!$E$4:$E$7,MATCH($D5,'Расчёт'!$A$4:$A$7,0))+'Параметры'!$B$23*(INDEX('Расчёт'!$F$4:$F$7,MATCH($D5,'Расчёт'!$A$4:$A$7,0))-INDEX('Расчёт'!$E$4:$E$7,MATCH($D5,'Расчёт'!$A$4:$A$7,0)))</f>
        <v>0.1092</v>
      </c>
      <c r="G5" s="10">
        <f>B5*((1-'Параметры'!$B$23*E5-F5)*(1+'Параметры'!$B$24)-($D5="Изменения")*(1-'Параметры'!$B$23*E5)*'Параметры'!$B$25*'Параметры'!$B$26)</f>
        <v>5.196864</v>
      </c>
      <c r="H5" s="5" t="s">
        <v>188</v>
      </c>
      <c r="I5" s="12">
        <f>INDEX('Расчёт'!$D$4:$D$7,MATCH($D5,'Расчёт'!$A$4:$A$7,0))</f>
        <v>0.344</v>
      </c>
      <c r="J5" s="12">
        <f>INDEX('Расчёт'!$E$4:$E$7,MATCH($D5,'Расчёт'!$A$4:$A$7,0))+'Параметры'!$B$23*(INDEX('Расчёт'!$G$4:$G$7,MATCH($D5,'Расчёт'!$A$4:$A$7,0))-INDEX('Расчёт'!$E$4:$E$7,MATCH($D5,'Расчёт'!$A$4:$A$7,0)))</f>
        <v>0.1092</v>
      </c>
      <c r="K5" s="10">
        <f>$B$13-SUM(K6:K10)</f>
        <v>11.3023992</v>
      </c>
      <c r="L5" s="15">
        <f>K5/$B$13</f>
        <v>0.396575410526316</v>
      </c>
      <c r="M5" s="12">
        <f>'Параметры'!E14</f>
        <v>0.4</v>
      </c>
      <c r="N5" s="15">
        <f>L5-M5</f>
        <v>-0.00342458947368446</v>
      </c>
    </row>
    <row r="6" spans="1:14">
      <c r="A6" s="5" t="str">
        <f>'Параметры'!A15</f>
        <v>Поддержка законодательства</v>
      </c>
      <c r="B6" s="10">
        <f>'Параметры'!C15</f>
        <v>14.4</v>
      </c>
      <c r="C6" s="12">
        <f>'Параметры'!B15</f>
        <v>0.3</v>
      </c>
      <c r="D6" s="5" t="str">
        <f>'Параметры'!D15</f>
        <v>Изменения</v>
      </c>
      <c r="E6" s="12">
        <f>INDEX('Расчёт'!$C$4:$C$7,MATCH($D6,'Расчёт'!$A$4:$A$7,0))</f>
        <v>0.344</v>
      </c>
      <c r="F6" s="12">
        <f>INDEX('Расчёт'!$E$4:$E$7,MATCH($D6,'Расчёт'!$A$4:$A$7,0))+'Параметры'!$B$23*(INDEX('Расчёт'!$F$4:$F$7,MATCH($D6,'Расчёт'!$A$4:$A$7,0))-INDEX('Расчёт'!$E$4:$E$7,MATCH($D6,'Расчёт'!$A$4:$A$7,0)))</f>
        <v>0.1092</v>
      </c>
      <c r="G6" s="10">
        <f>B6*((1-'Параметры'!$B$23*E6-F6)*(1+'Параметры'!$B$24)-($D6="Изменения")*(1-'Параметры'!$B$23*E6)*'Параметры'!$B$25*'Параметры'!$B$26)</f>
        <v>7.795296</v>
      </c>
      <c r="H6" s="12">
        <f>1+'Параметры'!$B$37</f>
        <v>1.1</v>
      </c>
      <c r="I6" s="12">
        <f>INDEX('Расчёт'!$D$4:$D$7,MATCH($D6,'Расчёт'!$A$4:$A$7,0))</f>
        <v>0.344</v>
      </c>
      <c r="J6" s="12">
        <f>INDEX('Расчёт'!$E$4:$E$7,MATCH($D6,'Расчёт'!$A$4:$A$7,0))+'Параметры'!$B$23*(INDEX('Расчёт'!$G$4:$G$7,MATCH($D6,'Расчёт'!$A$4:$A$7,0))-INDEX('Расчёт'!$E$4:$E$7,MATCH($D6,'Расчёт'!$A$4:$A$7,0)))</f>
        <v>0.1092</v>
      </c>
      <c r="K6" s="10">
        <f>B6*H6*((1-'Параметры'!$B$23*I6-J6)*(1+'Параметры'!$B$24)-($D6="Изменения")*(1-'Параметры'!$B$23*I6)*'Параметры'!$B$25*'Параметры'!$B$26)</f>
        <v>8.5748256</v>
      </c>
      <c r="L6" s="15">
        <f>K6/$B$13</f>
        <v>0.300871073684211</v>
      </c>
      <c r="M6" s="12">
        <f>'Параметры'!E15</f>
        <v>0.3</v>
      </c>
      <c r="N6" s="15">
        <f>L6-M6</f>
        <v>0.000871073684210633</v>
      </c>
    </row>
    <row r="7" spans="1:14">
      <c r="A7" s="5" t="str">
        <f>'Параметры'!A16</f>
        <v>Развитие продукта</v>
      </c>
      <c r="B7" s="10">
        <f>'Параметры'!C16</f>
        <v>4.8</v>
      </c>
      <c r="C7" s="12">
        <f>'Параметры'!B16</f>
        <v>0.1</v>
      </c>
      <c r="D7" s="5" t="str">
        <f>'Параметры'!D16</f>
        <v>Изменения</v>
      </c>
      <c r="E7" s="12">
        <f>INDEX('Расчёт'!$C$4:$C$7,MATCH($D7,'Расчёт'!$A$4:$A$7,0))</f>
        <v>0.344</v>
      </c>
      <c r="F7" s="12">
        <f>INDEX('Расчёт'!$E$4:$E$7,MATCH($D7,'Расчёт'!$A$4:$A$7,0))+'Параметры'!$B$23*(INDEX('Расчёт'!$F$4:$F$7,MATCH($D7,'Расчёт'!$A$4:$A$7,0))-INDEX('Расчёт'!$E$4:$E$7,MATCH($D7,'Расчёт'!$A$4:$A$7,0)))</f>
        <v>0.1092</v>
      </c>
      <c r="G7" s="10">
        <f>B7*((1-'Параметры'!$B$23*E7-F7)*(1+'Параметры'!$B$24)-($D7="Изменения")*(1-'Параметры'!$B$23*E7)*'Параметры'!$B$25*'Параметры'!$B$26)</f>
        <v>2.598432</v>
      </c>
      <c r="H7" s="12">
        <f>1+'Параметры'!$B$37</f>
        <v>1.1</v>
      </c>
      <c r="I7" s="12">
        <f>INDEX('Расчёт'!$D$4:$D$7,MATCH($D7,'Расчёт'!$A$4:$A$7,0))</f>
        <v>0.344</v>
      </c>
      <c r="J7" s="12">
        <f>INDEX('Расчёт'!$E$4:$E$7,MATCH($D7,'Расчёт'!$A$4:$A$7,0))+'Параметры'!$B$23*(INDEX('Расчёт'!$G$4:$G$7,MATCH($D7,'Расчёт'!$A$4:$A$7,0))-INDEX('Расчёт'!$E$4:$E$7,MATCH($D7,'Расчёт'!$A$4:$A$7,0)))</f>
        <v>0.1092</v>
      </c>
      <c r="K7" s="10">
        <f>B7*H7*((1-'Параметры'!$B$23*I7-J7)*(1+'Параметры'!$B$24)-($D7="Изменения")*(1-'Параметры'!$B$23*I7)*'Параметры'!$B$25*'Параметры'!$B$26)</f>
        <v>2.8582752</v>
      </c>
      <c r="L7" s="15">
        <f>K7/$B$13</f>
        <v>0.100290357894737</v>
      </c>
      <c r="M7" s="12">
        <f>'Параметры'!E16</f>
        <v>0.1</v>
      </c>
      <c r="N7" s="15">
        <f>L7-M7</f>
        <v>0.000290357894736887</v>
      </c>
    </row>
    <row r="8" spans="1:14">
      <c r="A8" s="5" t="str">
        <f>'Параметры'!A17</f>
        <v>Поддержка проектов внедрения</v>
      </c>
      <c r="B8" s="10">
        <f>'Параметры'!C17</f>
        <v>4.8</v>
      </c>
      <c r="C8" s="12">
        <f>'Параметры'!B17</f>
        <v>0.1</v>
      </c>
      <c r="D8" s="5" t="str">
        <f>'Параметры'!D17</f>
        <v>Внедрение</v>
      </c>
      <c r="E8" s="12">
        <f>INDEX('Расчёт'!$C$4:$C$7,MATCH($D8,'Расчёт'!$A$4:$A$7,0))</f>
        <v>0.2</v>
      </c>
      <c r="F8" s="12">
        <f>INDEX('Расчёт'!$E$4:$E$7,MATCH($D8,'Расчёт'!$A$4:$A$7,0))+'Параметры'!$B$23*(INDEX('Расчёт'!$F$4:$F$7,MATCH($D8,'Расчёт'!$A$4:$A$7,0))-INDEX('Расчёт'!$E$4:$E$7,MATCH($D8,'Расчёт'!$A$4:$A$7,0)))</f>
        <v>0.4</v>
      </c>
      <c r="G8" s="10">
        <f>B8*((1-'Параметры'!$B$23*E8-F8)*(1+'Параметры'!$B$24)-($D8="Изменения")*(1-'Параметры'!$B$23*E8)*'Параметры'!$B$25*'Параметры'!$B$26)</f>
        <v>2.016</v>
      </c>
      <c r="H8" s="12">
        <f>1</f>
        <v>1</v>
      </c>
      <c r="I8" s="12">
        <f>INDEX('Расчёт'!$D$4:$D$7,MATCH($D8,'Расчёт'!$A$4:$A$7,0))</f>
        <v>0.3125</v>
      </c>
      <c r="J8" s="12">
        <f>INDEX('Расчёт'!$E$4:$E$7,MATCH($D8,'Расчёт'!$A$4:$A$7,0))+'Параметры'!$B$23*(INDEX('Расчёт'!$G$4:$G$7,MATCH($D8,'Расчёт'!$A$4:$A$7,0))-INDEX('Расчёт'!$E$4:$E$7,MATCH($D8,'Расчёт'!$A$4:$A$7,0)))</f>
        <v>0.4</v>
      </c>
      <c r="K8" s="10">
        <f>B8*H8*((1-'Параметры'!$B$23*I8-J8)*(1+'Параметры'!$B$24)-($D8="Изменения")*(1-'Параметры'!$B$23*I8)*'Параметры'!$B$25*'Параметры'!$B$26)</f>
        <v>1.449</v>
      </c>
      <c r="L8" s="15">
        <f>K8/$B$13</f>
        <v>0.0508421052631579</v>
      </c>
      <c r="M8" s="12">
        <f>'Параметры'!E17</f>
        <v>0.05</v>
      </c>
      <c r="N8" s="15">
        <f>L8-M8</f>
        <v>0.000842105263157901</v>
      </c>
    </row>
    <row r="9" spans="1:14">
      <c r="A9" s="5" t="str">
        <f>'Параметры'!A18</f>
        <v>Сопровождение</v>
      </c>
      <c r="B9" s="10">
        <f>'Параметры'!C18</f>
        <v>12</v>
      </c>
      <c r="C9" s="12">
        <f>'Параметры'!B18</f>
        <v>0.25</v>
      </c>
      <c r="D9" s="5" t="str">
        <f>'Параметры'!D18</f>
        <v>Сопровождение</v>
      </c>
      <c r="E9" s="12">
        <f>INDEX('Расчёт'!$C$4:$C$7,MATCH($D9,'Расчёт'!$A$4:$A$7,0))</f>
        <v>0.33</v>
      </c>
      <c r="F9" s="12">
        <f>INDEX('Расчёт'!$E$4:$E$7,MATCH($D9,'Расчёт'!$A$4:$A$7,0))+'Параметры'!$B$23*(INDEX('Расчёт'!$F$4:$F$7,MATCH($D9,'Расчёт'!$A$4:$A$7,0))-INDEX('Расчёт'!$E$4:$E$7,MATCH($D9,'Расчёт'!$A$4:$A$7,0)))</f>
        <v>0</v>
      </c>
      <c r="G9" s="10">
        <f>B9*((1-'Параметры'!$B$23*E9-F9)*(1+'Параметры'!$B$24)-($D9="Изменения")*(1-'Параметры'!$B$23*E9)*'Параметры'!$B$25*'Параметры'!$B$26)</f>
        <v>8.442</v>
      </c>
      <c r="H9" s="12">
        <f>1-'Параметры'!$B$36</f>
        <v>0.5</v>
      </c>
      <c r="I9" s="12">
        <f>INDEX('Расчёт'!$D$4:$D$7,MATCH($D9,'Расчёт'!$A$4:$A$7,0))</f>
        <v>0.545</v>
      </c>
      <c r="J9" s="12">
        <f>INDEX('Расчёт'!$E$4:$E$7,MATCH($D9,'Расчёт'!$A$4:$A$7,0))+'Параметры'!$B$23*(INDEX('Расчёт'!$G$4:$G$7,MATCH($D9,'Расчёт'!$A$4:$A$7,0))-INDEX('Расчёт'!$E$4:$E$7,MATCH($D9,'Расчёт'!$A$4:$A$7,0)))</f>
        <v>0</v>
      </c>
      <c r="K9" s="10">
        <f>B9*H9*((1-'Параметры'!$B$23*I9-J9)*(1+'Параметры'!$B$24)-($D9="Изменения")*(1-'Параметры'!$B$23*I9)*'Параметры'!$B$25*'Параметры'!$B$26)</f>
        <v>2.8665</v>
      </c>
      <c r="L9" s="15">
        <f>K9/$B$13</f>
        <v>0.100578947368421</v>
      </c>
      <c r="M9" s="12">
        <f>'Параметры'!E18</f>
        <v>0.1</v>
      </c>
      <c r="N9" s="15">
        <f>L9-M9</f>
        <v>0.000578947368421068</v>
      </c>
    </row>
    <row r="10" spans="1:14">
      <c r="A10" s="5" t="str">
        <f>'Параметры'!A19</f>
        <v>Пресейлы и обследования</v>
      </c>
      <c r="B10" s="10">
        <f>'Параметры'!C19</f>
        <v>2.4</v>
      </c>
      <c r="C10" s="12">
        <f>'Параметры'!B19</f>
        <v>0.05</v>
      </c>
      <c r="D10" s="5" t="str">
        <f>'Параметры'!D19</f>
        <v>Пресейлы</v>
      </c>
      <c r="E10" s="12">
        <f>INDEX('Расчёт'!$C$4:$C$7,MATCH($D10,'Расчёт'!$A$4:$A$7,0))</f>
        <v>0.15</v>
      </c>
      <c r="F10" s="12">
        <f>INDEX('Расчёт'!$E$4:$E$7,MATCH($D10,'Расчёт'!$A$4:$A$7,0))+'Параметры'!$B$23*(INDEX('Расчёт'!$F$4:$F$7,MATCH($D10,'Расчёт'!$A$4:$A$7,0))-INDEX('Расчёт'!$E$4:$E$7,MATCH($D10,'Расчёт'!$A$4:$A$7,0)))</f>
        <v>0</v>
      </c>
      <c r="G10" s="10">
        <f>B10*((1-'Параметры'!$B$23*E10-F10)*(1+'Параметры'!$B$24)-($D10="Изменения")*(1-'Параметры'!$B$23*E10)*'Параметры'!$B$25*'Параметры'!$B$26)</f>
        <v>2.142</v>
      </c>
      <c r="H10" s="12">
        <f>1</f>
        <v>1</v>
      </c>
      <c r="I10" s="12">
        <f>INDEX('Расчёт'!$D$4:$D$7,MATCH($D10,'Расчёт'!$A$4:$A$7,0))</f>
        <v>0.425</v>
      </c>
      <c r="J10" s="12">
        <f>INDEX('Расчёт'!$E$4:$E$7,MATCH($D10,'Расчёт'!$A$4:$A$7,0))+'Параметры'!$B$23*(INDEX('Расчёт'!$G$4:$G$7,MATCH($D10,'Расчёт'!$A$4:$A$7,0))-INDEX('Расчёт'!$E$4:$E$7,MATCH($D10,'Расчёт'!$A$4:$A$7,0)))</f>
        <v>0</v>
      </c>
      <c r="K10" s="10">
        <f>B10*H10*((1-'Параметры'!$B$23*I10-J10)*(1+'Параметры'!$B$24)-($D10="Изменения")*(1-'Параметры'!$B$23*I10)*'Параметры'!$B$25*'Параметры'!$B$26)</f>
        <v>1.449</v>
      </c>
      <c r="L10" s="15">
        <f>K10/$B$13</f>
        <v>0.0508421052631579</v>
      </c>
      <c r="M10" s="12">
        <f>'Параметры'!E19</f>
        <v>0.05</v>
      </c>
      <c r="N10" s="15">
        <f>L10-M10</f>
        <v>0.000842105263157901</v>
      </c>
    </row>
    <row r="11" spans="1:14">
      <c r="A11" s="7" t="s">
        <v>44</v>
      </c>
      <c r="B11" s="8">
        <f>SUM(B5:B10)</f>
        <v>48</v>
      </c>
      <c r="C11" s="11">
        <f>SUM(C5:C10)</f>
        <v>1</v>
      </c>
      <c r="G11" s="8">
        <f>SUM(G5:G10)</f>
        <v>28.190592</v>
      </c>
      <c r="K11" s="8">
        <f>SUM(K5:K10)</f>
        <v>28.5</v>
      </c>
      <c r="L11" s="16">
        <f>SUM(L5:L10)</f>
        <v>1</v>
      </c>
      <c r="M11" s="11">
        <f>SUM(M5:M10)</f>
        <v>1</v>
      </c>
    </row>
    <row r="13" spans="1:14">
      <c r="A13" s="7" t="s">
        <v>189</v>
      </c>
      <c r="B13" s="8">
        <f>'Структура'!B23</f>
        <v>28.5</v>
      </c>
    </row>
    <row r="14" spans="1:14">
      <c r="A14" s="5" t="s">
        <v>190</v>
      </c>
      <c r="B14" s="10">
        <f>B13-G11</f>
        <v>0.309407999999998</v>
      </c>
    </row>
    <row r="15" spans="1:14">
      <c r="A15" s="7" t="s">
        <v>191</v>
      </c>
      <c r="B15" s="8">
        <f>1+(K5-G5)/(B5*(1-'Параметры'!$B$23*E5)*(1+'Параметры'!$B$24-'Параметры'!$B$25*'Параметры'!$B$26))</f>
        <v>1.9695019054878</v>
      </c>
      <c r="C15" s="3" t="s">
        <v>192</v>
      </c>
    </row>
    <row r="16" spans="1:14">
      <c r="A16" s="5" t="s">
        <v>193</v>
      </c>
      <c r="B16" s="10">
        <f>B5*F5+SUMPRODUCT(B6:B10,H6:H10,J6:J10)</f>
        <v>5.274624</v>
      </c>
    </row>
    <row r="18" spans="1:2">
      <c r="A18" s="7" t="s">
        <v>194</v>
      </c>
      <c r="B18" s="12">
        <f>'Параметры'!B38</f>
        <v>0.3</v>
      </c>
    </row>
    <row r="19" spans="1:2">
      <c r="A19" s="5" t="s">
        <v>195</v>
      </c>
      <c r="B19" s="15">
        <f>B9*(1-B18)*((1-'Параметры'!$B$23*I9-J9)*(1+'Параметры'!$B$24))/$B$13</f>
        <v>0.14081052631579</v>
      </c>
    </row>
    <row r="20" spans="1:2">
      <c r="A20" s="5" t="s">
        <v>196</v>
      </c>
      <c r="B20" s="15">
        <f>1-(SUM(K6:K10)-K9)/$B$13-B19</f>
        <v>0.356343831578947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Формула</vt:lpstr>
      <vt:lpstr>Параметры</vt:lpstr>
      <vt:lpstr>Атомы</vt:lpstr>
      <vt:lpstr>Расчёт</vt:lpstr>
      <vt:lpstr>Структура</vt:lpstr>
      <vt:lpstr>Процентовка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2026-09-29T07:29:49Z</dcterms:created>
  <dcterms:modified xsi:type="dcterms:W3CDTF">2026-09-29T07:29:49Z</dcterms:modified>
</cp:coreProperties>
</file>