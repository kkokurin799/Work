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Формула" sheetId="1" state="visible" r:id="rId3"/>
    <sheet name="Параметры" sheetId="2" state="visible" r:id="rId4"/>
    <sheet name="Атомы" sheetId="3" state="visible" r:id="rId5"/>
    <sheet name="Расчёт" sheetId="4" state="visible" r:id="rId6"/>
    <sheet name="Структура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<sst xmlns="http://schemas.openxmlformats.org/spreadsheetml/2006/main" count="260" uniqueCount="187">
  <si>
    <t xml:space="preserve">Модель целевой структуры направления «Брокерское обслуживание» после внедрения ИИ-агентов</t>
  </si>
  <si>
    <t xml:space="preserve">Жёлтые ячейки — входные параметры. Остальное считается формулами.</t>
  </si>
  <si>
    <t xml:space="preserve">1. Экономия вида работ i (доля часов, которую снимает ИИ):</t>
  </si>
  <si>
    <t xml:space="preserve">      E_i = Σ_j w_ij × a_ij</t>
  </si>
  <si>
    <t xml:space="preserve">      w_ij — доля атома j в трудозатратах вида работ i (в часах, не в сроке); a_ij — насколько ИИ сокращает часы атома.</t>
  </si>
  <si>
    <t xml:space="preserve">2. Потребность в исполнителях (аналитики, разработчики, тестировщики-DevOps):</t>
  </si>
  <si>
    <t xml:space="preserve">      FTE_TO-BE = (Σ_i FTE_i × (1 − k × E_i)) × (1 + o) − R</t>
  </si>
  <si>
    <t xml:space="preserve">      k — доля потока задач, которая реально идёт через агентов на конец года;</t>
  </si>
  <si>
    <t xml:space="preserve">      o — новые накладные расходы: ревью результатов агентов и доводка пайплайна;</t>
  </si>
  <si>
    <t xml:space="preserve">      R — меньше переделок благодаря Intent-команде: R = FTE изменений после ИИ × доля переделок × снижение переделок.</t>
  </si>
  <si>
    <t xml:space="preserve">3. Численность:</t>
  </si>
  <si>
    <t xml:space="preserve">      Всего = исполнители в командах + Intent-команда + руководители команд + роли вне команд</t>
  </si>
  <si>
    <t xml:space="preserve">      Руководитель небольшой команды часть времени работает с задачами — это учитывается в предложении исполнителей.</t>
  </si>
  <si>
    <t xml:space="preserve">4. Правила, которые защищают расчёт:</t>
  </si>
  <si>
    <t xml:space="preserve">      • «Ускоримся на 40%» = трудозатраты −40%, а не скорость ×1,4 (это было бы −29%).</t>
  </si>
  <si>
    <t xml:space="preserve">      • Считаются часы, а не срок: ожидание заказчика на ПСИ людей не освобождает.</t>
  </si>
  <si>
    <t xml:space="preserve">      • Эффект ограничен атомами, которые ИИ почти не ускоряет (согласования, ПСИ): двукратное ускорение всей разработки даёт только 15% общего эффекта.</t>
  </si>
  <si>
    <t xml:space="preserve">      • Половина внедрения, которая переходит в Intent-команду, — это перенос работы, а не экономия.</t>
  </si>
  <si>
    <t xml:space="preserve">Листы: «Параметры» — вводные; «Атомы» — разложение работ и коэффициенты ИИ по ролям; «Расчёт» — экономия и потребность по сценариям; «Структура» — целевые команды и сверка с потребностью.</t>
  </si>
  <si>
    <t xml:space="preserve">Параметры модели</t>
  </si>
  <si>
    <t xml:space="preserve">Штат AS-IS</t>
  </si>
  <si>
    <t xml:space="preserve">Значение</t>
  </si>
  <si>
    <t xml:space="preserve">Команд</t>
  </si>
  <si>
    <t xml:space="preserve">Руководителей в команде</t>
  </si>
  <si>
    <t xml:space="preserve">Аналитиков в команде</t>
  </si>
  <si>
    <t xml:space="preserve">Разработчиков в команде</t>
  </si>
  <si>
    <t xml:space="preserve">Тестировщиков-DevOps в команде</t>
  </si>
  <si>
    <t xml:space="preserve">Ролей вне команд (не ускоряются ИИ)</t>
  </si>
  <si>
    <t xml:space="preserve">Исполнителей AS-IS (аналитики + разработчики + тестировщики-DevOps)</t>
  </si>
  <si>
    <t xml:space="preserve">Всего AS-IS</t>
  </si>
  <si>
    <t xml:space="preserve">Вид работ</t>
  </si>
  <si>
    <t xml:space="preserve">Доля трудозатрат</t>
  </si>
  <si>
    <t xml:space="preserve">FTE исполнителей</t>
  </si>
  <si>
    <t xml:space="preserve">Группа атомов</t>
  </si>
  <si>
    <t xml:space="preserve">Заказные доработки</t>
  </si>
  <si>
    <t xml:space="preserve">Изменения</t>
  </si>
  <si>
    <t xml:space="preserve">Поддержка законодательства</t>
  </si>
  <si>
    <t xml:space="preserve">Развитие продукта</t>
  </si>
  <si>
    <t xml:space="preserve">Поддержка проектов внедрения</t>
  </si>
  <si>
    <t xml:space="preserve">Внедрение</t>
  </si>
  <si>
    <t xml:space="preserve">Сопровождение</t>
  </si>
  <si>
    <t xml:space="preserve">Пресейлы и обследования</t>
  </si>
  <si>
    <t xml:space="preserve">Пресейлы</t>
  </si>
  <si>
    <t xml:space="preserve">Итого</t>
  </si>
  <si>
    <t xml:space="preserve">Параметры сценариев</t>
  </si>
  <si>
    <t xml:space="preserve">Консервативный</t>
  </si>
  <si>
    <t xml:space="preserve">Базовый</t>
  </si>
  <si>
    <t xml:space="preserve">Оптимистичный</t>
  </si>
  <si>
    <t xml:space="preserve">k — доля потока через агентов на конец года</t>
  </si>
  <si>
    <t xml:space="preserve">Набор коэффициентов ИИ (база / опт)</t>
  </si>
  <si>
    <t xml:space="preserve">база</t>
  </si>
  <si>
    <t xml:space="preserve">опт</t>
  </si>
  <si>
    <t xml:space="preserve">o — накладные ИИ (ревью агентов, доводка пайплайна)</t>
  </si>
  <si>
    <t xml:space="preserve">Доля переделок в трудозатратах изменений</t>
  </si>
  <si>
    <t xml:space="preserve">Снижение переделок за счёт Intent-команды</t>
  </si>
  <si>
    <t xml:space="preserve">Прочие параметры</t>
  </si>
  <si>
    <t xml:space="preserve">Доля входной аналитики изменений через Intent-команду</t>
  </si>
  <si>
    <t xml:space="preserve">Доля времени руководителя команды на задачах</t>
  </si>
  <si>
    <t xml:space="preserve">Накладные ИИ: доля разработчиков</t>
  </si>
  <si>
    <t xml:space="preserve">Накладные ИИ: доля тестировщиков-DevOps</t>
  </si>
  <si>
    <t xml:space="preserve">Снижение переделок: доля аналитиков</t>
  </si>
  <si>
    <t xml:space="preserve">Снижение переделок: доля разработчиков</t>
  </si>
  <si>
    <t xml:space="preserve">Снижение переделок: доля тестировщиков-DevOps</t>
  </si>
  <si>
    <t xml:space="preserve">Разложение работ на атомы: доля в часах, экономия за счёт ИИ, кто выполняет</t>
  </si>
  <si>
    <t xml:space="preserve">Доли w внутри каждой группы в сумме дают 100%. Роли: А — аналитик, Р — разработчик, Т — тестировщик-DevOps.</t>
  </si>
  <si>
    <t xml:space="preserve">Группа</t>
  </si>
  <si>
    <t xml:space="preserve">Блок</t>
  </si>
  <si>
    <t xml:space="preserve">Атом работы</t>
  </si>
  <si>
    <t xml:space="preserve">Что делает ИИ</t>
  </si>
  <si>
    <t xml:space="preserve">w, доля часов</t>
  </si>
  <si>
    <t xml:space="preserve">a база</t>
  </si>
  <si>
    <t xml:space="preserve">a опт</t>
  </si>
  <si>
    <t xml:space="preserve">Доля А</t>
  </si>
  <si>
    <t xml:space="preserve">Доля Р</t>
  </si>
  <si>
    <t xml:space="preserve">Доля Т</t>
  </si>
  <si>
    <t xml:space="preserve">Доля Intent</t>
  </si>
  <si>
    <t xml:space="preserve">Остаток база</t>
  </si>
  <si>
    <t xml:space="preserve">Остаток опт</t>
  </si>
  <si>
    <t xml:space="preserve">Аналитика</t>
  </si>
  <si>
    <t xml:space="preserve">Встречи, интервью, согласования с заказчиком</t>
  </si>
  <si>
    <t xml:space="preserve">Протоколы, резюме, список открытых вопросов; сами переговоры не ускоряет</t>
  </si>
  <si>
    <t xml:space="preserve">Разбор нормативки, ТЗ и текущей логики продукта</t>
  </si>
  <si>
    <t xml:space="preserve">Поиск и сравнение норм, выжимка изменений, поиск затронутого кода и настроек</t>
  </si>
  <si>
    <t xml:space="preserve">Постановка и спецификация (Proposal.md)</t>
  </si>
  <si>
    <t xml:space="preserve">Черновик постановки, сценарии и критерии приёмки по шаблону</t>
  </si>
  <si>
    <t xml:space="preserve">Разработка</t>
  </si>
  <si>
    <t xml:space="preserve">Проектирование решения</t>
  </si>
  <si>
    <t xml:space="preserve">Варианты решения и анализ влияния; решение принимает человек</t>
  </si>
  <si>
    <t xml:space="preserve">Написание кода</t>
  </si>
  <si>
    <t xml:space="preserve">Агент пишет код по постановке</t>
  </si>
  <si>
    <t xml:space="preserve">Ревью, отладка, merge</t>
  </si>
  <si>
    <t xml:space="preserve">Автоматическое ревью, объяснение ошибок, подсказки по исправлению</t>
  </si>
  <si>
    <t xml:space="preserve">DevOps</t>
  </si>
  <si>
    <t xml:space="preserve">Сборка, стенды, деплой</t>
  </si>
  <si>
    <t xml:space="preserve">Генерация пайплайнов и конфигураций, разбор падений сборки</t>
  </si>
  <si>
    <t xml:space="preserve">Тестирование</t>
  </si>
  <si>
    <t xml:space="preserve">Тест-дизайн и тест-кейсы</t>
  </si>
  <si>
    <t xml:space="preserve">Генерация тест-кейсов из постановки и критериев приёмки</t>
  </si>
  <si>
    <t xml:space="preserve">Тестовые данные (сделки, позиции, остатки)</t>
  </si>
  <si>
    <t xml:space="preserve">Генерация наборов данных под сценарии</t>
  </si>
  <si>
    <t xml:space="preserve">Прогон, регресс, автотесты</t>
  </si>
  <si>
    <t xml:space="preserve">Агент пишет и поддерживает автотесты</t>
  </si>
  <si>
    <t xml:space="preserve">Анализ дефектов и ретесты</t>
  </si>
  <si>
    <t xml:space="preserve">Локализация причины, черновик исправления</t>
  </si>
  <si>
    <t xml:space="preserve">ПСИ с заказчиком</t>
  </si>
  <si>
    <t xml:space="preserve">Программа и протоколы испытаний; сами испытания не ускоряет</t>
  </si>
  <si>
    <t xml:space="preserve">Приём и классификация обращений</t>
  </si>
  <si>
    <t xml:space="preserve">Автоклассификация, маршрутизация, поиск похожих обращений</t>
  </si>
  <si>
    <t xml:space="preserve">Диагностика: логи, данные, воспроизведение</t>
  </si>
  <si>
    <t xml:space="preserve">Анализ логов и данных, гипотезы причины</t>
  </si>
  <si>
    <t xml:space="preserve">Исправления и хотфиксы</t>
  </si>
  <si>
    <t xml:space="preserve">Агент готовит исправление и тест к нему</t>
  </si>
  <si>
    <t xml:space="preserve">Консультации и ответы клиентам</t>
  </si>
  <si>
    <t xml:space="preserve">Черновики ответов по базе знаний</t>
  </si>
  <si>
    <t xml:space="preserve">Регламентные работы и мониторинг</t>
  </si>
  <si>
    <t xml:space="preserve">Скрипты, алерты, разбор инцидентов инфраструктуры</t>
  </si>
  <si>
    <t xml:space="preserve">Обследование и проработка решения у клиента (уходит в Intent)</t>
  </si>
  <si>
    <t xml:space="preserve">Выжимка обследования, черновик решения</t>
  </si>
  <si>
    <t xml:space="preserve">Настройка и миграция данных</t>
  </si>
  <si>
    <t xml:space="preserve">Скрипты настройки и миграции, сверки</t>
  </si>
  <si>
    <t xml:space="preserve">Поддержка тестирования у клиента, обучение</t>
  </si>
  <si>
    <t xml:space="preserve">Материалы обучения, разбор замечаний клиента</t>
  </si>
  <si>
    <t xml:space="preserve">Встречи, демо, обследования</t>
  </si>
  <si>
    <t xml:space="preserve">Почти не ускоряет</t>
  </si>
  <si>
    <t xml:space="preserve">Подготовка материалов и оценок</t>
  </si>
  <si>
    <t xml:space="preserve">Черновики материалов, оценки по аналогам</t>
  </si>
  <si>
    <t xml:space="preserve">Расчёт экономии и потребности в людях</t>
  </si>
  <si>
    <t xml:space="preserve">Σw (проверка)</t>
  </si>
  <si>
    <t xml:space="preserve">E база</t>
  </si>
  <si>
    <t xml:space="preserve">E опт</t>
  </si>
  <si>
    <t xml:space="preserve">FTE AS-IS</t>
  </si>
  <si>
    <t xml:space="preserve">Нужно: консерв.</t>
  </si>
  <si>
    <t xml:space="preserve">Нужно: базовый</t>
  </si>
  <si>
    <t xml:space="preserve">Нужно: оптим.</t>
  </si>
  <si>
    <t xml:space="preserve">Итого до накладных</t>
  </si>
  <si>
    <t xml:space="preserve">+ накладные ИИ (o)</t>
  </si>
  <si>
    <t xml:space="preserve">− снижение переделок (R)</t>
  </si>
  <si>
    <t xml:space="preserve">Нужно исполнителей</t>
  </si>
  <si>
    <t xml:space="preserve">Экономия на исполнителях к AS-IS</t>
  </si>
  <si>
    <t xml:space="preserve">Группа (доли часов по ролям)</t>
  </si>
  <si>
    <t xml:space="preserve">А as-is</t>
  </si>
  <si>
    <t xml:space="preserve">Р as-is</t>
  </si>
  <si>
    <t xml:space="preserve">Т as-is</t>
  </si>
  <si>
    <t xml:space="preserve">А база</t>
  </si>
  <si>
    <t xml:space="preserve">Р база</t>
  </si>
  <si>
    <t xml:space="preserve">Т база</t>
  </si>
  <si>
    <t xml:space="preserve">А опт</t>
  </si>
  <si>
    <t xml:space="preserve">Р опт</t>
  </si>
  <si>
    <t xml:space="preserve">Т опт</t>
  </si>
  <si>
    <t xml:space="preserve">Intent as-is</t>
  </si>
  <si>
    <t xml:space="preserve">Intent база</t>
  </si>
  <si>
    <t xml:space="preserve">Intent опт</t>
  </si>
  <si>
    <t xml:space="preserve">FTE по группам</t>
  </si>
  <si>
    <t xml:space="preserve">Потребность по ролям</t>
  </si>
  <si>
    <t xml:space="preserve">Работа AS-IS</t>
  </si>
  <si>
    <t xml:space="preserve">Консерв.</t>
  </si>
  <si>
    <t xml:space="preserve">Оптим.</t>
  </si>
  <si>
    <t xml:space="preserve">Аналитика (включая Intent-команду)</t>
  </si>
  <si>
    <t xml:space="preserve">Тестирование и DevOps</t>
  </si>
  <si>
    <t xml:space="preserve">Итого исполнителей</t>
  </si>
  <si>
    <t xml:space="preserve">из них работа Intent-команды</t>
  </si>
  <si>
    <t xml:space="preserve">«Работа AS-IS» — сколько человек нужно под аналитику, разработку и тестирование по раскладке атомов; «Штат AS-IS» — сколько людей в этих ролях сейчас. Разница показывает, какую часть аналитики и диагностики сегодня фактически делают разработчики.</t>
  </si>
  <si>
    <t xml:space="preserve">Целевая структура и сверка с потребностью</t>
  </si>
  <si>
    <t xml:space="preserve">Команда</t>
  </si>
  <si>
    <t xml:space="preserve">Кол-во</t>
  </si>
  <si>
    <t xml:space="preserve">РК</t>
  </si>
  <si>
    <t xml:space="preserve">Аналитики</t>
  </si>
  <si>
    <t xml:space="preserve">Разработчики</t>
  </si>
  <si>
    <t xml:space="preserve">Тестировщики-DevOps</t>
  </si>
  <si>
    <t xml:space="preserve">В команде</t>
  </si>
  <si>
    <t xml:space="preserve">Всего</t>
  </si>
  <si>
    <t xml:space="preserve">Intent-команда (discovery и intent)</t>
  </si>
  <si>
    <t xml:space="preserve">Продуктовый учёт по всем рынкам</t>
  </si>
  <si>
    <t xml:space="preserve">Внутренний, бухгалтерский и доверительный учёт</t>
  </si>
  <si>
    <t xml:space="preserve">НДФЛ</t>
  </si>
  <si>
    <t xml:space="preserve">Кор-команда по финансовым инструментам (платформы FA и MSA)</t>
  </si>
  <si>
    <t xml:space="preserve">Микросервисная команда (рыночные данные и прочие сервисы)</t>
  </si>
  <si>
    <t xml:space="preserve">Роли вне команд</t>
  </si>
  <si>
    <t xml:space="preserve">Итого TO-BE</t>
  </si>
  <si>
    <t xml:space="preserve">Итого AS-IS</t>
  </si>
  <si>
    <t xml:space="preserve">Изменение численности</t>
  </si>
  <si>
    <t xml:space="preserve">Сверка предложения с потребностью</t>
  </si>
  <si>
    <t xml:space="preserve">Есть</t>
  </si>
  <si>
    <t xml:space="preserve">Разрыв к базовому</t>
  </si>
  <si>
    <t xml:space="preserve">Руководители на задачах (РК × доля времени)</t>
  </si>
  <si>
    <t xml:space="preserve">Intent-команда: есть / нужно по базовому</t>
  </si>
  <si>
    <t xml:space="preserve">Отрицательный разрыв в тестировании закрывают продуктовые инженеры: избыток разработки и руководители уходят в автотесты с агентами.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</si>
</sst>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0%"/>
    <numFmt numFmtId="167" formatCode="0.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1"/>
      <color rgb="FFFFFFFF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FFFFF"/>
      </patternFill>
    </fill>
    <fill>
      <patternFill patternType="solid">
        <fgColor rgb="FFDDEBF7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0" fillId="3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120"/>
  </cols>
  <sheetData>
    <row r="1" customFormat="false" ht="40.2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6.4" hidden="false" customHeight="false" outlineLevel="0" collapsed="false">
      <c r="A3" s="3" t="s">
        <v>1</v>
      </c>
    </row>
    <row r="4" customFormat="false" ht="15" hidden="false" customHeight="false" outlineLevel="0" collapsed="false">
      <c r="A4" s="2"/>
    </row>
    <row r="5" customFormat="false" ht="16.4" hidden="false" customHeight="false" outlineLevel="0" collapsed="false">
      <c r="A5" s="3" t="s">
        <v>2</v>
      </c>
    </row>
    <row r="6" customFormat="false" ht="16.4" hidden="false" customHeight="false" outlineLevel="0" collapsed="false">
      <c r="A6" s="2" t="s">
        <v>3</v>
      </c>
    </row>
    <row r="7" customFormat="false" ht="16.4" hidden="false" customHeight="false" outlineLevel="0" collapsed="false">
      <c r="A7" s="2" t="s">
        <v>4</v>
      </c>
    </row>
    <row r="8" customFormat="false" ht="15" hidden="false" customHeight="false" outlineLevel="0" collapsed="false">
      <c r="A8" s="2"/>
    </row>
    <row r="9" customFormat="false" ht="16.4" hidden="false" customHeight="false" outlineLevel="0" collapsed="false">
      <c r="A9" s="3" t="s">
        <v>5</v>
      </c>
    </row>
    <row r="10" customFormat="false" ht="16.4" hidden="false" customHeight="false" outlineLevel="0" collapsed="false">
      <c r="A10" s="2" t="s">
        <v>6</v>
      </c>
    </row>
    <row r="11" customFormat="false" ht="16.4" hidden="false" customHeight="false" outlineLevel="0" collapsed="false">
      <c r="A11" s="2" t="s">
        <v>7</v>
      </c>
    </row>
    <row r="12" customFormat="false" ht="16.4" hidden="false" customHeight="false" outlineLevel="0" collapsed="false">
      <c r="A12" s="2" t="s">
        <v>8</v>
      </c>
    </row>
    <row r="13" customFormat="false" ht="16.4" hidden="false" customHeight="false" outlineLevel="0" collapsed="false">
      <c r="A13" s="2" t="s">
        <v>9</v>
      </c>
    </row>
    <row r="14" customFormat="false" ht="15" hidden="false" customHeight="false" outlineLevel="0" collapsed="false">
      <c r="A14" s="2"/>
    </row>
    <row r="15" customFormat="false" ht="16.4" hidden="false" customHeight="false" outlineLevel="0" collapsed="false">
      <c r="A15" s="3" t="s">
        <v>10</v>
      </c>
    </row>
    <row r="16" customFormat="false" ht="16.4" hidden="false" customHeight="false" outlineLevel="0" collapsed="false">
      <c r="A16" s="2" t="s">
        <v>11</v>
      </c>
    </row>
    <row r="17" customFormat="false" ht="16.4" hidden="false" customHeight="false" outlineLevel="0" collapsed="false">
      <c r="A17" s="2" t="s">
        <v>12</v>
      </c>
    </row>
    <row r="18" customFormat="false" ht="15" hidden="false" customHeight="false" outlineLevel="0" collapsed="false">
      <c r="A18" s="2"/>
    </row>
    <row r="19" customFormat="false" ht="16.4" hidden="false" customHeight="false" outlineLevel="0" collapsed="false">
      <c r="A19" s="3" t="s">
        <v>13</v>
      </c>
    </row>
    <row r="20" customFormat="false" ht="16.4" hidden="false" customHeight="false" outlineLevel="0" collapsed="false">
      <c r="A20" s="2" t="s">
        <v>14</v>
      </c>
    </row>
    <row r="21" customFormat="false" ht="16.4" hidden="false" customHeight="false" outlineLevel="0" collapsed="false">
      <c r="A21" s="2" t="s">
        <v>15</v>
      </c>
    </row>
    <row r="22" customFormat="false" ht="31.3" hidden="false" customHeight="false" outlineLevel="0" collapsed="false">
      <c r="A22" s="2" t="s">
        <v>16</v>
      </c>
    </row>
    <row r="23" customFormat="false" ht="16.4" hidden="false" customHeight="false" outlineLevel="0" collapsed="false">
      <c r="A23" s="2" t="s">
        <v>17</v>
      </c>
    </row>
    <row r="24" customFormat="false" ht="15" hidden="false" customHeight="false" outlineLevel="0" collapsed="false">
      <c r="A24" s="2"/>
    </row>
    <row r="25" customFormat="false" ht="31.3" hidden="false" customHeight="false" outlineLevel="0" collapsed="false">
      <c r="A25" s="2" t="s">
        <v>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4" min="2" style="0" width="16"/>
  </cols>
  <sheetData>
    <row r="1" customFormat="false" ht="17.35" hidden="false" customHeight="false" outlineLevel="0" collapsed="false">
      <c r="A1" s="4" t="s">
        <v>19</v>
      </c>
    </row>
    <row r="3" customFormat="false" ht="16.4" hidden="false" customHeight="false" outlineLevel="0" collapsed="false">
      <c r="A3" s="5" t="s">
        <v>20</v>
      </c>
      <c r="B3" s="5" t="s">
        <v>21</v>
      </c>
    </row>
    <row r="4" customFormat="false" ht="15" hidden="false" customHeight="false" outlineLevel="0" collapsed="false">
      <c r="A4" s="6" t="s">
        <v>22</v>
      </c>
      <c r="B4" s="7" t="n">
        <v>6</v>
      </c>
    </row>
    <row r="5" customFormat="false" ht="15" hidden="false" customHeight="false" outlineLevel="0" collapsed="false">
      <c r="A5" s="6" t="s">
        <v>23</v>
      </c>
      <c r="B5" s="7" t="n">
        <v>1</v>
      </c>
    </row>
    <row r="6" customFormat="false" ht="15" hidden="false" customHeight="false" outlineLevel="0" collapsed="false">
      <c r="A6" s="6" t="s">
        <v>24</v>
      </c>
      <c r="B6" s="7" t="n">
        <v>2</v>
      </c>
    </row>
    <row r="7" customFormat="false" ht="15" hidden="false" customHeight="false" outlineLevel="0" collapsed="false">
      <c r="A7" s="6" t="s">
        <v>25</v>
      </c>
      <c r="B7" s="7" t="n">
        <v>4</v>
      </c>
    </row>
    <row r="8" customFormat="false" ht="15" hidden="false" customHeight="false" outlineLevel="0" collapsed="false">
      <c r="A8" s="6" t="s">
        <v>26</v>
      </c>
      <c r="B8" s="7" t="n">
        <v>2</v>
      </c>
    </row>
    <row r="9" customFormat="false" ht="15" hidden="false" customHeight="false" outlineLevel="0" collapsed="false">
      <c r="A9" s="6" t="s">
        <v>27</v>
      </c>
      <c r="B9" s="7" t="n">
        <v>6</v>
      </c>
    </row>
    <row r="10" customFormat="false" ht="15" hidden="false" customHeight="false" outlineLevel="0" collapsed="false">
      <c r="A10" s="8" t="s">
        <v>28</v>
      </c>
      <c r="B10" s="9" t="n">
        <f aca="false">B4*(B6+B7+B8)</f>
        <v>48</v>
      </c>
    </row>
    <row r="11" customFormat="false" ht="15" hidden="false" customHeight="false" outlineLevel="0" collapsed="false">
      <c r="A11" s="8" t="s">
        <v>29</v>
      </c>
      <c r="B11" s="9" t="n">
        <f aca="false">B4*(B5+B6+B7+B8)+B9</f>
        <v>60</v>
      </c>
    </row>
    <row r="13" customFormat="false" ht="31.3" hidden="false" customHeight="false" outlineLevel="0" collapsed="false">
      <c r="A13" s="5" t="s">
        <v>30</v>
      </c>
      <c r="B13" s="5" t="s">
        <v>31</v>
      </c>
      <c r="C13" s="5" t="s">
        <v>32</v>
      </c>
      <c r="D13" s="5" t="s">
        <v>33</v>
      </c>
    </row>
    <row r="14" customFormat="false" ht="15" hidden="false" customHeight="false" outlineLevel="0" collapsed="false">
      <c r="A14" s="6" t="s">
        <v>34</v>
      </c>
      <c r="B14" s="10" t="n">
        <v>0.2</v>
      </c>
      <c r="C14" s="11" t="n">
        <f aca="false">B14*$B$10</f>
        <v>9.6</v>
      </c>
      <c r="D14" s="6" t="s">
        <v>35</v>
      </c>
    </row>
    <row r="15" customFormat="false" ht="15" hidden="false" customHeight="false" outlineLevel="0" collapsed="false">
      <c r="A15" s="6" t="s">
        <v>36</v>
      </c>
      <c r="B15" s="10" t="n">
        <v>0.3</v>
      </c>
      <c r="C15" s="11" t="n">
        <f aca="false">B15*$B$10</f>
        <v>14.4</v>
      </c>
      <c r="D15" s="6" t="s">
        <v>35</v>
      </c>
    </row>
    <row r="16" customFormat="false" ht="15" hidden="false" customHeight="false" outlineLevel="0" collapsed="false">
      <c r="A16" s="6" t="s">
        <v>37</v>
      </c>
      <c r="B16" s="10" t="n">
        <v>0.1</v>
      </c>
      <c r="C16" s="11" t="n">
        <f aca="false">B16*$B$10</f>
        <v>4.8</v>
      </c>
      <c r="D16" s="6" t="s">
        <v>35</v>
      </c>
    </row>
    <row r="17" customFormat="false" ht="15" hidden="false" customHeight="false" outlineLevel="0" collapsed="false">
      <c r="A17" s="6" t="s">
        <v>38</v>
      </c>
      <c r="B17" s="10" t="n">
        <v>0.1</v>
      </c>
      <c r="C17" s="11" t="n">
        <f aca="false">B17*$B$10</f>
        <v>4.8</v>
      </c>
      <c r="D17" s="6" t="s">
        <v>39</v>
      </c>
    </row>
    <row r="18" customFormat="false" ht="15" hidden="false" customHeight="false" outlineLevel="0" collapsed="false">
      <c r="A18" s="6" t="s">
        <v>40</v>
      </c>
      <c r="B18" s="10" t="n">
        <v>0.25</v>
      </c>
      <c r="C18" s="11" t="n">
        <f aca="false">B18*$B$10</f>
        <v>12</v>
      </c>
      <c r="D18" s="6" t="s">
        <v>40</v>
      </c>
    </row>
    <row r="19" customFormat="false" ht="15" hidden="false" customHeight="false" outlineLevel="0" collapsed="false">
      <c r="A19" s="6" t="s">
        <v>41</v>
      </c>
      <c r="B19" s="10" t="n">
        <v>0.05</v>
      </c>
      <c r="C19" s="11" t="n">
        <f aca="false">B19*$B$10</f>
        <v>2.4</v>
      </c>
      <c r="D19" s="6" t="s">
        <v>42</v>
      </c>
    </row>
    <row r="20" customFormat="false" ht="15" hidden="false" customHeight="false" outlineLevel="0" collapsed="false">
      <c r="A20" s="8" t="s">
        <v>43</v>
      </c>
      <c r="B20" s="12" t="n">
        <f aca="false">SUM(B14:B19)</f>
        <v>1</v>
      </c>
      <c r="C20" s="13" t="n">
        <f aca="false">SUM(C14:C19)</f>
        <v>48</v>
      </c>
    </row>
    <row r="22" customFormat="false" ht="31.3" hidden="false" customHeight="false" outlineLevel="0" collapsed="false">
      <c r="A22" s="5" t="s">
        <v>44</v>
      </c>
      <c r="B22" s="5" t="s">
        <v>45</v>
      </c>
      <c r="C22" s="5" t="s">
        <v>46</v>
      </c>
      <c r="D22" s="5" t="s">
        <v>47</v>
      </c>
    </row>
    <row r="23" customFormat="false" ht="15" hidden="false" customHeight="false" outlineLevel="0" collapsed="false">
      <c r="A23" s="6" t="s">
        <v>48</v>
      </c>
      <c r="B23" s="10" t="n">
        <v>0.8</v>
      </c>
      <c r="C23" s="10" t="n">
        <v>1</v>
      </c>
      <c r="D23" s="10" t="n">
        <v>1</v>
      </c>
    </row>
    <row r="24" customFormat="false" ht="15" hidden="false" customHeight="false" outlineLevel="0" collapsed="false">
      <c r="A24" s="6" t="s">
        <v>49</v>
      </c>
      <c r="B24" s="7" t="s">
        <v>50</v>
      </c>
      <c r="C24" s="7" t="s">
        <v>50</v>
      </c>
      <c r="D24" s="7" t="s">
        <v>51</v>
      </c>
    </row>
    <row r="25" customFormat="false" ht="15" hidden="false" customHeight="false" outlineLevel="0" collapsed="false">
      <c r="A25" s="6" t="s">
        <v>52</v>
      </c>
      <c r="B25" s="10" t="n">
        <v>0.05</v>
      </c>
      <c r="C25" s="10" t="n">
        <v>0.05</v>
      </c>
      <c r="D25" s="10" t="n">
        <v>0.05</v>
      </c>
    </row>
    <row r="26" customFormat="false" ht="15" hidden="false" customHeight="false" outlineLevel="0" collapsed="false">
      <c r="A26" s="6" t="s">
        <v>53</v>
      </c>
      <c r="B26" s="10" t="n">
        <v>0.15</v>
      </c>
      <c r="C26" s="10" t="n">
        <v>0.15</v>
      </c>
      <c r="D26" s="10" t="n">
        <v>0.15</v>
      </c>
    </row>
    <row r="27" customFormat="false" ht="15" hidden="false" customHeight="false" outlineLevel="0" collapsed="false">
      <c r="A27" s="6" t="s">
        <v>54</v>
      </c>
      <c r="B27" s="10" t="n">
        <v>0.333333333333333</v>
      </c>
      <c r="C27" s="10" t="n">
        <v>0.333333333333333</v>
      </c>
      <c r="D27" s="10" t="n">
        <v>0.333333333333333</v>
      </c>
    </row>
    <row r="29" customFormat="false" ht="16.4" hidden="false" customHeight="false" outlineLevel="0" collapsed="false">
      <c r="A29" s="5" t="s">
        <v>55</v>
      </c>
      <c r="B29" s="5" t="s">
        <v>21</v>
      </c>
    </row>
    <row r="30" customFormat="false" ht="15" hidden="false" customHeight="false" outlineLevel="0" collapsed="false">
      <c r="A30" s="6" t="s">
        <v>56</v>
      </c>
      <c r="B30" s="10" t="n">
        <v>0.7</v>
      </c>
    </row>
    <row r="31" customFormat="false" ht="15" hidden="false" customHeight="false" outlineLevel="0" collapsed="false">
      <c r="A31" s="6" t="s">
        <v>57</v>
      </c>
      <c r="B31" s="10" t="n">
        <v>0.5</v>
      </c>
    </row>
    <row r="32" customFormat="false" ht="15" hidden="false" customHeight="false" outlineLevel="0" collapsed="false">
      <c r="A32" s="6" t="s">
        <v>58</v>
      </c>
      <c r="B32" s="10" t="n">
        <v>0.5</v>
      </c>
    </row>
    <row r="33" customFormat="false" ht="15" hidden="false" customHeight="false" outlineLevel="0" collapsed="false">
      <c r="A33" s="6" t="s">
        <v>59</v>
      </c>
      <c r="B33" s="10" t="n">
        <v>0.5</v>
      </c>
    </row>
    <row r="34" customFormat="false" ht="15" hidden="false" customHeight="false" outlineLevel="0" collapsed="false">
      <c r="A34" s="6" t="s">
        <v>60</v>
      </c>
      <c r="B34" s="10" t="n">
        <v>0.3</v>
      </c>
    </row>
    <row r="35" customFormat="false" ht="15" hidden="false" customHeight="false" outlineLevel="0" collapsed="false">
      <c r="A35" s="6" t="s">
        <v>61</v>
      </c>
      <c r="B35" s="10" t="n">
        <v>0.3</v>
      </c>
    </row>
    <row r="36" customFormat="false" ht="15" hidden="false" customHeight="false" outlineLevel="0" collapsed="false">
      <c r="A36" s="6" t="s">
        <v>62</v>
      </c>
      <c r="B36" s="10" t="n">
        <v>0.4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14"/>
    <col collapsed="false" customWidth="true" hidden="false" outlineLevel="0" max="3" min="3" style="0" width="44"/>
    <col collapsed="false" customWidth="true" hidden="false" outlineLevel="0" max="4" min="4" style="0" width="58"/>
    <col collapsed="false" customWidth="true" hidden="false" outlineLevel="0" max="7" min="5" style="0" width="10"/>
    <col collapsed="false" customWidth="true" hidden="false" outlineLevel="0" max="10" min="8" style="0" width="9"/>
    <col collapsed="false" customWidth="true" hidden="false" outlineLevel="0" max="11" min="11" style="0" width="10"/>
    <col collapsed="false" customWidth="true" hidden="false" outlineLevel="0" max="13" min="12" style="0" width="12"/>
  </cols>
  <sheetData>
    <row r="1" customFormat="false" ht="17.35" hidden="false" customHeight="false" outlineLevel="0" collapsed="false">
      <c r="A1" s="4" t="s">
        <v>63</v>
      </c>
    </row>
    <row r="2" customFormat="false" ht="15" hidden="false" customHeight="false" outlineLevel="0" collapsed="false">
      <c r="A2" s="0" t="s">
        <v>64</v>
      </c>
    </row>
    <row r="4" customFormat="false" ht="31.3" hidden="false" customHeight="false" outlineLevel="0" collapsed="false">
      <c r="A4" s="5" t="s">
        <v>65</v>
      </c>
      <c r="B4" s="5" t="s">
        <v>66</v>
      </c>
      <c r="C4" s="5" t="s">
        <v>67</v>
      </c>
      <c r="D4" s="5" t="s">
        <v>68</v>
      </c>
      <c r="E4" s="5" t="s">
        <v>69</v>
      </c>
      <c r="F4" s="5" t="s">
        <v>70</v>
      </c>
      <c r="G4" s="5" t="s">
        <v>71</v>
      </c>
      <c r="H4" s="5" t="s">
        <v>72</v>
      </c>
      <c r="I4" s="5" t="s">
        <v>73</v>
      </c>
      <c r="J4" s="5" t="s">
        <v>74</v>
      </c>
      <c r="K4" s="5" t="s">
        <v>75</v>
      </c>
      <c r="L4" s="5" t="s">
        <v>76</v>
      </c>
      <c r="M4" s="5" t="s">
        <v>77</v>
      </c>
    </row>
    <row r="5" customFormat="false" ht="31.3" hidden="false" customHeight="false" outlineLevel="0" collapsed="false">
      <c r="A5" s="14" t="s">
        <v>35</v>
      </c>
      <c r="B5" s="14" t="s">
        <v>78</v>
      </c>
      <c r="C5" s="14" t="s">
        <v>79</v>
      </c>
      <c r="D5" s="14" t="s">
        <v>80</v>
      </c>
      <c r="E5" s="15" t="n">
        <v>0.12</v>
      </c>
      <c r="F5" s="15" t="n">
        <v>0.1</v>
      </c>
      <c r="G5" s="15" t="n">
        <v>0.1</v>
      </c>
      <c r="H5" s="15" t="n">
        <v>1</v>
      </c>
      <c r="I5" s="15" t="n">
        <v>0</v>
      </c>
      <c r="J5" s="15" t="n">
        <v>0</v>
      </c>
      <c r="K5" s="15" t="n">
        <f aca="false">Параметры!$B$30</f>
        <v>0.7</v>
      </c>
      <c r="L5" s="16" t="n">
        <f aca="false">E5*(1-F5)</f>
        <v>0.108</v>
      </c>
      <c r="M5" s="16" t="n">
        <f aca="false">E5*(1-G5)</f>
        <v>0.108</v>
      </c>
    </row>
    <row r="6" customFormat="false" ht="31.3" hidden="false" customHeight="false" outlineLevel="0" collapsed="false">
      <c r="A6" s="14" t="s">
        <v>35</v>
      </c>
      <c r="B6" s="14" t="s">
        <v>78</v>
      </c>
      <c r="C6" s="14" t="s">
        <v>81</v>
      </c>
      <c r="D6" s="14" t="s">
        <v>82</v>
      </c>
      <c r="E6" s="15" t="n">
        <v>0.08</v>
      </c>
      <c r="F6" s="15" t="n">
        <v>0.4</v>
      </c>
      <c r="G6" s="15" t="n">
        <v>0.5</v>
      </c>
      <c r="H6" s="15" t="n">
        <v>1</v>
      </c>
      <c r="I6" s="15" t="n">
        <v>0</v>
      </c>
      <c r="J6" s="15" t="n">
        <v>0</v>
      </c>
      <c r="K6" s="15" t="n">
        <f aca="false">Параметры!$B$30</f>
        <v>0.7</v>
      </c>
      <c r="L6" s="16" t="n">
        <f aca="false">E6*(1-F6)</f>
        <v>0.048</v>
      </c>
      <c r="M6" s="16" t="n">
        <f aca="false">E6*(1-G6)</f>
        <v>0.04</v>
      </c>
    </row>
    <row r="7" customFormat="false" ht="31.3" hidden="false" customHeight="false" outlineLevel="0" collapsed="false">
      <c r="A7" s="14" t="s">
        <v>35</v>
      </c>
      <c r="B7" s="14" t="s">
        <v>78</v>
      </c>
      <c r="C7" s="14" t="s">
        <v>83</v>
      </c>
      <c r="D7" s="14" t="s">
        <v>84</v>
      </c>
      <c r="E7" s="15" t="n">
        <v>0.1</v>
      </c>
      <c r="F7" s="15" t="n">
        <v>0.5</v>
      </c>
      <c r="G7" s="15" t="n">
        <v>0.6</v>
      </c>
      <c r="H7" s="15" t="n">
        <v>1</v>
      </c>
      <c r="I7" s="15" t="n">
        <v>0</v>
      </c>
      <c r="J7" s="15" t="n">
        <v>0</v>
      </c>
      <c r="K7" s="15" t="n">
        <v>0</v>
      </c>
      <c r="L7" s="16" t="n">
        <f aca="false">E7*(1-F7)</f>
        <v>0.05</v>
      </c>
      <c r="M7" s="16" t="n">
        <f aca="false">E7*(1-G7)</f>
        <v>0.04</v>
      </c>
    </row>
    <row r="8" customFormat="false" ht="31.3" hidden="false" customHeight="false" outlineLevel="0" collapsed="false">
      <c r="A8" s="14" t="s">
        <v>35</v>
      </c>
      <c r="B8" s="14" t="s">
        <v>85</v>
      </c>
      <c r="C8" s="14" t="s">
        <v>86</v>
      </c>
      <c r="D8" s="14" t="s">
        <v>87</v>
      </c>
      <c r="E8" s="15" t="n">
        <v>0.05</v>
      </c>
      <c r="F8" s="15" t="n">
        <v>0.2</v>
      </c>
      <c r="G8" s="15" t="n">
        <v>0.3</v>
      </c>
      <c r="H8" s="15" t="n">
        <v>0</v>
      </c>
      <c r="I8" s="15" t="n">
        <v>1</v>
      </c>
      <c r="J8" s="15" t="n">
        <v>0</v>
      </c>
      <c r="K8" s="15" t="n">
        <v>0</v>
      </c>
      <c r="L8" s="16" t="n">
        <f aca="false">E8*(1-F8)</f>
        <v>0.04</v>
      </c>
      <c r="M8" s="16" t="n">
        <f aca="false">E8*(1-G8)</f>
        <v>0.035</v>
      </c>
    </row>
    <row r="9" customFormat="false" ht="16.4" hidden="false" customHeight="false" outlineLevel="0" collapsed="false">
      <c r="A9" s="14" t="s">
        <v>35</v>
      </c>
      <c r="B9" s="14" t="s">
        <v>85</v>
      </c>
      <c r="C9" s="14" t="s">
        <v>88</v>
      </c>
      <c r="D9" s="14" t="s">
        <v>89</v>
      </c>
      <c r="E9" s="15" t="n">
        <v>0.15</v>
      </c>
      <c r="F9" s="15" t="n">
        <v>0.5</v>
      </c>
      <c r="G9" s="15" t="n">
        <v>0.6</v>
      </c>
      <c r="H9" s="15" t="n">
        <v>0</v>
      </c>
      <c r="I9" s="15" t="n">
        <v>1</v>
      </c>
      <c r="J9" s="15" t="n">
        <v>0</v>
      </c>
      <c r="K9" s="15" t="n">
        <v>0</v>
      </c>
      <c r="L9" s="16" t="n">
        <f aca="false">E9*(1-F9)</f>
        <v>0.075</v>
      </c>
      <c r="M9" s="16" t="n">
        <f aca="false">E9*(1-G9)</f>
        <v>0.06</v>
      </c>
    </row>
    <row r="10" customFormat="false" ht="31.3" hidden="false" customHeight="false" outlineLevel="0" collapsed="false">
      <c r="A10" s="14" t="s">
        <v>35</v>
      </c>
      <c r="B10" s="14" t="s">
        <v>85</v>
      </c>
      <c r="C10" s="14" t="s">
        <v>90</v>
      </c>
      <c r="D10" s="14" t="s">
        <v>91</v>
      </c>
      <c r="E10" s="15" t="n">
        <v>0.06</v>
      </c>
      <c r="F10" s="15" t="n">
        <v>0.3</v>
      </c>
      <c r="G10" s="15" t="n">
        <v>0.4</v>
      </c>
      <c r="H10" s="15" t="n">
        <v>0</v>
      </c>
      <c r="I10" s="15" t="n">
        <v>1</v>
      </c>
      <c r="J10" s="15" t="n">
        <v>0</v>
      </c>
      <c r="K10" s="15" t="n">
        <v>0</v>
      </c>
      <c r="L10" s="16" t="n">
        <f aca="false">E10*(1-F10)</f>
        <v>0.042</v>
      </c>
      <c r="M10" s="16" t="n">
        <f aca="false">E10*(1-G10)</f>
        <v>0.036</v>
      </c>
    </row>
    <row r="11" customFormat="false" ht="31.3" hidden="false" customHeight="false" outlineLevel="0" collapsed="false">
      <c r="A11" s="14" t="s">
        <v>35</v>
      </c>
      <c r="B11" s="14" t="s">
        <v>92</v>
      </c>
      <c r="C11" s="14" t="s">
        <v>93</v>
      </c>
      <c r="D11" s="14" t="s">
        <v>94</v>
      </c>
      <c r="E11" s="15" t="n">
        <v>0.04</v>
      </c>
      <c r="F11" s="15" t="n">
        <v>0.15</v>
      </c>
      <c r="G11" s="15" t="n">
        <v>0.2</v>
      </c>
      <c r="H11" s="15" t="n">
        <v>0</v>
      </c>
      <c r="I11" s="15" t="n">
        <v>0</v>
      </c>
      <c r="J11" s="15" t="n">
        <v>1</v>
      </c>
      <c r="K11" s="15" t="n">
        <v>0</v>
      </c>
      <c r="L11" s="16" t="n">
        <f aca="false">E11*(1-F11)</f>
        <v>0.034</v>
      </c>
      <c r="M11" s="16" t="n">
        <f aca="false">E11*(1-G11)</f>
        <v>0.032</v>
      </c>
    </row>
    <row r="12" customFormat="false" ht="16.4" hidden="false" customHeight="false" outlineLevel="0" collapsed="false">
      <c r="A12" s="14" t="s">
        <v>35</v>
      </c>
      <c r="B12" s="14" t="s">
        <v>95</v>
      </c>
      <c r="C12" s="14" t="s">
        <v>96</v>
      </c>
      <c r="D12" s="14" t="s">
        <v>97</v>
      </c>
      <c r="E12" s="15" t="n">
        <v>0.08</v>
      </c>
      <c r="F12" s="15" t="n">
        <v>0.5</v>
      </c>
      <c r="G12" s="15" t="n">
        <v>0.6</v>
      </c>
      <c r="H12" s="15" t="n">
        <v>0</v>
      </c>
      <c r="I12" s="15" t="n">
        <v>0</v>
      </c>
      <c r="J12" s="15" t="n">
        <v>1</v>
      </c>
      <c r="K12" s="15" t="n">
        <v>0</v>
      </c>
      <c r="L12" s="16" t="n">
        <f aca="false">E12*(1-F12)</f>
        <v>0.04</v>
      </c>
      <c r="M12" s="16" t="n">
        <f aca="false">E12*(1-G12)</f>
        <v>0.032</v>
      </c>
    </row>
    <row r="13" customFormat="false" ht="16.4" hidden="false" customHeight="false" outlineLevel="0" collapsed="false">
      <c r="A13" s="14" t="s">
        <v>35</v>
      </c>
      <c r="B13" s="14" t="s">
        <v>95</v>
      </c>
      <c r="C13" s="14" t="s">
        <v>98</v>
      </c>
      <c r="D13" s="14" t="s">
        <v>99</v>
      </c>
      <c r="E13" s="15" t="n">
        <v>0.08</v>
      </c>
      <c r="F13" s="15" t="n">
        <v>0.4</v>
      </c>
      <c r="G13" s="15" t="n">
        <v>0.55</v>
      </c>
      <c r="H13" s="15" t="n">
        <v>0</v>
      </c>
      <c r="I13" s="15" t="n">
        <v>0</v>
      </c>
      <c r="J13" s="15" t="n">
        <v>1</v>
      </c>
      <c r="K13" s="15" t="n">
        <v>0</v>
      </c>
      <c r="L13" s="16" t="n">
        <f aca="false">E13*(1-F13)</f>
        <v>0.048</v>
      </c>
      <c r="M13" s="16" t="n">
        <f aca="false">E13*(1-G13)</f>
        <v>0.036</v>
      </c>
    </row>
    <row r="14" customFormat="false" ht="16.4" hidden="false" customHeight="false" outlineLevel="0" collapsed="false">
      <c r="A14" s="14" t="s">
        <v>35</v>
      </c>
      <c r="B14" s="14" t="s">
        <v>95</v>
      </c>
      <c r="C14" s="14" t="s">
        <v>100</v>
      </c>
      <c r="D14" s="14" t="s">
        <v>101</v>
      </c>
      <c r="E14" s="15" t="n">
        <v>0.1</v>
      </c>
      <c r="F14" s="15" t="n">
        <v>0.5</v>
      </c>
      <c r="G14" s="15" t="n">
        <v>0.65</v>
      </c>
      <c r="H14" s="15" t="n">
        <v>0</v>
      </c>
      <c r="I14" s="15" t="n">
        <v>0</v>
      </c>
      <c r="J14" s="15" t="n">
        <v>1</v>
      </c>
      <c r="K14" s="15" t="n">
        <v>0</v>
      </c>
      <c r="L14" s="16" t="n">
        <f aca="false">E14*(1-F14)</f>
        <v>0.05</v>
      </c>
      <c r="M14" s="16" t="n">
        <f aca="false">E14*(1-G14)</f>
        <v>0.035</v>
      </c>
    </row>
    <row r="15" customFormat="false" ht="16.4" hidden="false" customHeight="false" outlineLevel="0" collapsed="false">
      <c r="A15" s="14" t="s">
        <v>35</v>
      </c>
      <c r="B15" s="14" t="s">
        <v>95</v>
      </c>
      <c r="C15" s="14" t="s">
        <v>102</v>
      </c>
      <c r="D15" s="14" t="s">
        <v>103</v>
      </c>
      <c r="E15" s="15" t="n">
        <v>0.06</v>
      </c>
      <c r="F15" s="15" t="n">
        <v>0.25</v>
      </c>
      <c r="G15" s="15" t="n">
        <v>0.35</v>
      </c>
      <c r="H15" s="15" t="n">
        <v>0</v>
      </c>
      <c r="I15" s="15" t="n">
        <v>0.5</v>
      </c>
      <c r="J15" s="15" t="n">
        <v>0.5</v>
      </c>
      <c r="K15" s="15" t="n">
        <v>0</v>
      </c>
      <c r="L15" s="16" t="n">
        <f aca="false">E15*(1-F15)</f>
        <v>0.045</v>
      </c>
      <c r="M15" s="16" t="n">
        <f aca="false">E15*(1-G15)</f>
        <v>0.039</v>
      </c>
    </row>
    <row r="16" customFormat="false" ht="31.3" hidden="false" customHeight="false" outlineLevel="0" collapsed="false">
      <c r="A16" s="14" t="s">
        <v>35</v>
      </c>
      <c r="B16" s="14" t="s">
        <v>95</v>
      </c>
      <c r="C16" s="14" t="s">
        <v>104</v>
      </c>
      <c r="D16" s="14" t="s">
        <v>105</v>
      </c>
      <c r="E16" s="15" t="n">
        <v>0.08</v>
      </c>
      <c r="F16" s="15" t="n">
        <v>0.05</v>
      </c>
      <c r="G16" s="15" t="n">
        <v>0.1</v>
      </c>
      <c r="H16" s="15" t="n">
        <v>0.5</v>
      </c>
      <c r="I16" s="15" t="n">
        <v>0</v>
      </c>
      <c r="J16" s="15" t="n">
        <v>0.5</v>
      </c>
      <c r="K16" s="15" t="n">
        <v>0</v>
      </c>
      <c r="L16" s="16" t="n">
        <f aca="false">E16*(1-F16)</f>
        <v>0.076</v>
      </c>
      <c r="M16" s="16" t="n">
        <f aca="false">E16*(1-G16)</f>
        <v>0.072</v>
      </c>
    </row>
    <row r="17" customFormat="false" ht="31.3" hidden="false" customHeight="false" outlineLevel="0" collapsed="false">
      <c r="A17" s="14" t="s">
        <v>40</v>
      </c>
      <c r="B17" s="14" t="s">
        <v>40</v>
      </c>
      <c r="C17" s="14" t="s">
        <v>106</v>
      </c>
      <c r="D17" s="14" t="s">
        <v>107</v>
      </c>
      <c r="E17" s="15" t="n">
        <v>0.15</v>
      </c>
      <c r="F17" s="15" t="n">
        <v>0.5</v>
      </c>
      <c r="G17" s="15" t="n">
        <v>0.6</v>
      </c>
      <c r="H17" s="15" t="n">
        <v>1</v>
      </c>
      <c r="I17" s="15" t="n">
        <v>0</v>
      </c>
      <c r="J17" s="15" t="n">
        <v>0</v>
      </c>
      <c r="K17" s="15" t="n">
        <v>0</v>
      </c>
      <c r="L17" s="16" t="n">
        <f aca="false">E17*(1-F17)</f>
        <v>0.075</v>
      </c>
      <c r="M17" s="16" t="n">
        <f aca="false">E17*(1-G17)</f>
        <v>0.06</v>
      </c>
    </row>
    <row r="18" customFormat="false" ht="31.3" hidden="false" customHeight="false" outlineLevel="0" collapsed="false">
      <c r="A18" s="14" t="s">
        <v>40</v>
      </c>
      <c r="B18" s="14" t="s">
        <v>40</v>
      </c>
      <c r="C18" s="14" t="s">
        <v>108</v>
      </c>
      <c r="D18" s="14" t="s">
        <v>109</v>
      </c>
      <c r="E18" s="15" t="n">
        <v>0.4</v>
      </c>
      <c r="F18" s="15" t="n">
        <v>0.3</v>
      </c>
      <c r="G18" s="15" t="n">
        <v>0.45</v>
      </c>
      <c r="H18" s="15" t="n">
        <v>0.5</v>
      </c>
      <c r="I18" s="15" t="n">
        <v>0.5</v>
      </c>
      <c r="J18" s="15" t="n">
        <v>0</v>
      </c>
      <c r="K18" s="15" t="n">
        <v>0</v>
      </c>
      <c r="L18" s="16" t="n">
        <f aca="false">E18*(1-F18)</f>
        <v>0.28</v>
      </c>
      <c r="M18" s="16" t="n">
        <f aca="false">E18*(1-G18)</f>
        <v>0.22</v>
      </c>
    </row>
    <row r="19" customFormat="false" ht="31.3" hidden="false" customHeight="false" outlineLevel="0" collapsed="false">
      <c r="A19" s="14" t="s">
        <v>40</v>
      </c>
      <c r="B19" s="14" t="s">
        <v>40</v>
      </c>
      <c r="C19" s="14" t="s">
        <v>110</v>
      </c>
      <c r="D19" s="14" t="s">
        <v>111</v>
      </c>
      <c r="E19" s="15" t="n">
        <v>0.2</v>
      </c>
      <c r="F19" s="15" t="n">
        <v>0.35</v>
      </c>
      <c r="G19" s="15" t="n">
        <v>0.5</v>
      </c>
      <c r="H19" s="15" t="n">
        <v>0</v>
      </c>
      <c r="I19" s="15" t="n">
        <v>1</v>
      </c>
      <c r="J19" s="15" t="n">
        <v>0</v>
      </c>
      <c r="K19" s="15" t="n">
        <v>0</v>
      </c>
      <c r="L19" s="16" t="n">
        <f aca="false">E19*(1-F19)</f>
        <v>0.13</v>
      </c>
      <c r="M19" s="16" t="n">
        <f aca="false">E19*(1-G19)</f>
        <v>0.1</v>
      </c>
    </row>
    <row r="20" customFormat="false" ht="31.3" hidden="false" customHeight="false" outlineLevel="0" collapsed="false">
      <c r="A20" s="14" t="s">
        <v>40</v>
      </c>
      <c r="B20" s="14" t="s">
        <v>40</v>
      </c>
      <c r="C20" s="14" t="s">
        <v>112</v>
      </c>
      <c r="D20" s="14" t="s">
        <v>113</v>
      </c>
      <c r="E20" s="15" t="n">
        <v>0.15</v>
      </c>
      <c r="F20" s="15" t="n">
        <v>0.3</v>
      </c>
      <c r="G20" s="15" t="n">
        <v>0.45</v>
      </c>
      <c r="H20" s="15" t="n">
        <v>1</v>
      </c>
      <c r="I20" s="15" t="n">
        <v>0</v>
      </c>
      <c r="J20" s="15" t="n">
        <v>0</v>
      </c>
      <c r="K20" s="15" t="n">
        <v>0</v>
      </c>
      <c r="L20" s="16" t="n">
        <f aca="false">E20*(1-F20)</f>
        <v>0.105</v>
      </c>
      <c r="M20" s="16" t="n">
        <f aca="false">E20*(1-G20)</f>
        <v>0.0825</v>
      </c>
    </row>
    <row r="21" customFormat="false" ht="31.3" hidden="false" customHeight="false" outlineLevel="0" collapsed="false">
      <c r="A21" s="14" t="s">
        <v>40</v>
      </c>
      <c r="B21" s="14" t="s">
        <v>40</v>
      </c>
      <c r="C21" s="14" t="s">
        <v>114</v>
      </c>
      <c r="D21" s="14" t="s">
        <v>115</v>
      </c>
      <c r="E21" s="15" t="n">
        <v>0.1</v>
      </c>
      <c r="F21" s="15" t="n">
        <v>0.2</v>
      </c>
      <c r="G21" s="15" t="n">
        <v>0.3</v>
      </c>
      <c r="H21" s="15" t="n">
        <v>0</v>
      </c>
      <c r="I21" s="15" t="n">
        <v>0</v>
      </c>
      <c r="J21" s="15" t="n">
        <v>1</v>
      </c>
      <c r="K21" s="15" t="n">
        <v>0</v>
      </c>
      <c r="L21" s="16" t="n">
        <f aca="false">E21*(1-F21)</f>
        <v>0.08</v>
      </c>
      <c r="M21" s="16" t="n">
        <f aca="false">E21*(1-G21)</f>
        <v>0.07</v>
      </c>
    </row>
    <row r="22" customFormat="false" ht="31.3" hidden="false" customHeight="false" outlineLevel="0" collapsed="false">
      <c r="A22" s="14" t="s">
        <v>39</v>
      </c>
      <c r="B22" s="14" t="s">
        <v>39</v>
      </c>
      <c r="C22" s="14" t="s">
        <v>116</v>
      </c>
      <c r="D22" s="14" t="s">
        <v>117</v>
      </c>
      <c r="E22" s="15" t="n">
        <v>0.5</v>
      </c>
      <c r="F22" s="15" t="n">
        <v>0.2</v>
      </c>
      <c r="G22" s="15" t="n">
        <v>0.3</v>
      </c>
      <c r="H22" s="15" t="n">
        <v>1</v>
      </c>
      <c r="I22" s="15" t="n">
        <v>0</v>
      </c>
      <c r="J22" s="15" t="n">
        <v>0</v>
      </c>
      <c r="K22" s="15" t="n">
        <v>1</v>
      </c>
      <c r="L22" s="16" t="n">
        <f aca="false">E22*(1-F22)</f>
        <v>0.4</v>
      </c>
      <c r="M22" s="16" t="n">
        <f aca="false">E22*(1-G22)</f>
        <v>0.35</v>
      </c>
    </row>
    <row r="23" customFormat="false" ht="16.4" hidden="false" customHeight="false" outlineLevel="0" collapsed="false">
      <c r="A23" s="14" t="s">
        <v>39</v>
      </c>
      <c r="B23" s="14" t="s">
        <v>39</v>
      </c>
      <c r="C23" s="14" t="s">
        <v>118</v>
      </c>
      <c r="D23" s="14" t="s">
        <v>119</v>
      </c>
      <c r="E23" s="15" t="n">
        <v>0.25</v>
      </c>
      <c r="F23" s="15" t="n">
        <v>0.2</v>
      </c>
      <c r="G23" s="15" t="n">
        <v>0.35</v>
      </c>
      <c r="H23" s="15" t="n">
        <v>0</v>
      </c>
      <c r="I23" s="15" t="n">
        <v>0.5</v>
      </c>
      <c r="J23" s="15" t="n">
        <v>0.5</v>
      </c>
      <c r="K23" s="15" t="n">
        <v>0</v>
      </c>
      <c r="L23" s="16" t="n">
        <f aca="false">E23*(1-F23)</f>
        <v>0.2</v>
      </c>
      <c r="M23" s="16" t="n">
        <f aca="false">E23*(1-G23)</f>
        <v>0.1625</v>
      </c>
    </row>
    <row r="24" customFormat="false" ht="16.4" hidden="false" customHeight="false" outlineLevel="0" collapsed="false">
      <c r="A24" s="14" t="s">
        <v>39</v>
      </c>
      <c r="B24" s="14" t="s">
        <v>39</v>
      </c>
      <c r="C24" s="14" t="s">
        <v>120</v>
      </c>
      <c r="D24" s="14" t="s">
        <v>121</v>
      </c>
      <c r="E24" s="15" t="n">
        <v>0.25</v>
      </c>
      <c r="F24" s="15" t="n">
        <v>0.2</v>
      </c>
      <c r="G24" s="15" t="n">
        <v>0.3</v>
      </c>
      <c r="H24" s="15" t="n">
        <v>0.5</v>
      </c>
      <c r="I24" s="15" t="n">
        <v>0</v>
      </c>
      <c r="J24" s="15" t="n">
        <v>0.5</v>
      </c>
      <c r="K24" s="15" t="n">
        <v>0</v>
      </c>
      <c r="L24" s="16" t="n">
        <f aca="false">E24*(1-F24)</f>
        <v>0.2</v>
      </c>
      <c r="M24" s="16" t="n">
        <f aca="false">E24*(1-G24)</f>
        <v>0.175</v>
      </c>
    </row>
    <row r="25" customFormat="false" ht="16.4" hidden="false" customHeight="false" outlineLevel="0" collapsed="false">
      <c r="A25" s="14" t="s">
        <v>42</v>
      </c>
      <c r="B25" s="14" t="s">
        <v>42</v>
      </c>
      <c r="C25" s="14" t="s">
        <v>122</v>
      </c>
      <c r="D25" s="14" t="s">
        <v>123</v>
      </c>
      <c r="E25" s="15" t="n">
        <v>0.5</v>
      </c>
      <c r="F25" s="15" t="n">
        <v>0</v>
      </c>
      <c r="G25" s="15" t="n">
        <v>0.05</v>
      </c>
      <c r="H25" s="15" t="n">
        <v>1</v>
      </c>
      <c r="I25" s="15" t="n">
        <v>0</v>
      </c>
      <c r="J25" s="15" t="n">
        <v>0</v>
      </c>
      <c r="K25" s="15" t="n">
        <v>0</v>
      </c>
      <c r="L25" s="16" t="n">
        <f aca="false">E25*(1-F25)</f>
        <v>0.5</v>
      </c>
      <c r="M25" s="16" t="n">
        <f aca="false">E25*(1-G25)</f>
        <v>0.475</v>
      </c>
    </row>
    <row r="26" customFormat="false" ht="16.4" hidden="false" customHeight="false" outlineLevel="0" collapsed="false">
      <c r="A26" s="14" t="s">
        <v>42</v>
      </c>
      <c r="B26" s="14" t="s">
        <v>42</v>
      </c>
      <c r="C26" s="14" t="s">
        <v>124</v>
      </c>
      <c r="D26" s="14" t="s">
        <v>125</v>
      </c>
      <c r="E26" s="15" t="n">
        <v>0.5</v>
      </c>
      <c r="F26" s="15" t="n">
        <v>0.3</v>
      </c>
      <c r="G26" s="15" t="n">
        <v>0.45</v>
      </c>
      <c r="H26" s="15" t="n">
        <v>0.5</v>
      </c>
      <c r="I26" s="15" t="n">
        <v>0.5</v>
      </c>
      <c r="J26" s="15" t="n">
        <v>0</v>
      </c>
      <c r="K26" s="15" t="n">
        <v>0</v>
      </c>
      <c r="L26" s="16" t="n">
        <f aca="false">E26*(1-F26)</f>
        <v>0.35</v>
      </c>
      <c r="M26" s="16" t="n">
        <f aca="false">E26*(1-G26)</f>
        <v>0.275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13" min="2" style="0" width="13"/>
  </cols>
  <sheetData>
    <row r="1" customFormat="false" ht="17.35" hidden="false" customHeight="false" outlineLevel="0" collapsed="false">
      <c r="A1" s="4" t="s">
        <v>126</v>
      </c>
    </row>
    <row r="3" customFormat="false" ht="31.3" hidden="false" customHeight="false" outlineLevel="0" collapsed="false">
      <c r="A3" s="5" t="s">
        <v>33</v>
      </c>
      <c r="B3" s="5" t="s">
        <v>127</v>
      </c>
      <c r="C3" s="5" t="s">
        <v>128</v>
      </c>
      <c r="D3" s="5" t="s">
        <v>129</v>
      </c>
    </row>
    <row r="4" customFormat="false" ht="15" hidden="false" customHeight="false" outlineLevel="0" collapsed="false">
      <c r="A4" s="6" t="s">
        <v>35</v>
      </c>
      <c r="B4" s="16" t="n">
        <f aca="false">SUMIF(Атомы!$A$5:$A$26,A4,Атомы!$E$5:$E$26)</f>
        <v>1</v>
      </c>
      <c r="C4" s="16" t="n">
        <f aca="false">1-SUMIF(Атомы!$A$5:$A$26,A4,Атомы!$L$5:$L$26)/B4</f>
        <v>0.344</v>
      </c>
      <c r="D4" s="16" t="n">
        <f aca="false">1-SUMIF(Атомы!$A$5:$A$26,A4,Атомы!$M$5:$M$26)/B4</f>
        <v>0.435</v>
      </c>
    </row>
    <row r="5" customFormat="false" ht="15" hidden="false" customHeight="false" outlineLevel="0" collapsed="false">
      <c r="A5" s="6" t="s">
        <v>40</v>
      </c>
      <c r="B5" s="16" t="n">
        <f aca="false">SUMIF(Атомы!$A$5:$A$26,A5,Атомы!$E$5:$E$26)</f>
        <v>1</v>
      </c>
      <c r="C5" s="16" t="n">
        <f aca="false">1-SUMIF(Атомы!$A$5:$A$26,A5,Атомы!$L$5:$L$26)/B5</f>
        <v>0.33</v>
      </c>
      <c r="D5" s="16" t="n">
        <f aca="false">1-SUMIF(Атомы!$A$5:$A$26,A5,Атомы!$M$5:$M$26)/B5</f>
        <v>0.4675</v>
      </c>
    </row>
    <row r="6" customFormat="false" ht="15" hidden="false" customHeight="false" outlineLevel="0" collapsed="false">
      <c r="A6" s="6" t="s">
        <v>39</v>
      </c>
      <c r="B6" s="16" t="n">
        <f aca="false">SUMIF(Атомы!$A$5:$A$26,A6,Атомы!$E$5:$E$26)</f>
        <v>1</v>
      </c>
      <c r="C6" s="16" t="n">
        <f aca="false">1-SUMIF(Атомы!$A$5:$A$26,A6,Атомы!$L$5:$L$26)/B6</f>
        <v>0.2</v>
      </c>
      <c r="D6" s="16" t="n">
        <f aca="false">1-SUMIF(Атомы!$A$5:$A$26,A6,Атомы!$M$5:$M$26)/B6</f>
        <v>0.3125</v>
      </c>
    </row>
    <row r="7" customFormat="false" ht="15" hidden="false" customHeight="false" outlineLevel="0" collapsed="false">
      <c r="A7" s="6" t="s">
        <v>42</v>
      </c>
      <c r="B7" s="16" t="n">
        <f aca="false">SUMIF(Атомы!$A$5:$A$26,A7,Атомы!$E$5:$E$26)</f>
        <v>1</v>
      </c>
      <c r="C7" s="16" t="n">
        <f aca="false">1-SUMIF(Атомы!$A$5:$A$26,A7,Атомы!$L$5:$L$26)/B7</f>
        <v>0.15</v>
      </c>
      <c r="D7" s="16" t="n">
        <f aca="false">1-SUMIF(Атомы!$A$5:$A$26,A7,Атомы!$M$5:$M$26)/B7</f>
        <v>0.25</v>
      </c>
    </row>
    <row r="9" customFormat="false" ht="31.3" hidden="false" customHeight="false" outlineLevel="0" collapsed="false">
      <c r="A9" s="5" t="s">
        <v>30</v>
      </c>
      <c r="B9" s="5" t="s">
        <v>130</v>
      </c>
      <c r="C9" s="5" t="s">
        <v>65</v>
      </c>
      <c r="D9" s="5" t="s">
        <v>128</v>
      </c>
      <c r="E9" s="5" t="s">
        <v>129</v>
      </c>
      <c r="F9" s="5" t="s">
        <v>131</v>
      </c>
      <c r="G9" s="5" t="s">
        <v>132</v>
      </c>
      <c r="H9" s="5" t="s">
        <v>133</v>
      </c>
    </row>
    <row r="10" customFormat="false" ht="15" hidden="false" customHeight="false" outlineLevel="0" collapsed="false">
      <c r="A10" s="6" t="str">
        <f aca="false">Параметры!A14</f>
        <v>Заказные доработки</v>
      </c>
      <c r="B10" s="11" t="n">
        <f aca="false">Параметры!C14</f>
        <v>9.6</v>
      </c>
      <c r="C10" s="6" t="str">
        <f aca="false">Параметры!D14</f>
        <v>Изменения</v>
      </c>
      <c r="D10" s="16" t="n">
        <f aca="false">INDEX($C$4:$C$7,MATCH(C10,$A$4:$A$7,0))</f>
        <v>0.344</v>
      </c>
      <c r="E10" s="16" t="n">
        <f aca="false">INDEX($D$4:$D$7,MATCH(C10,$A$4:$A$7,0))</f>
        <v>0.435</v>
      </c>
      <c r="F10" s="11" t="n">
        <f aca="false">$B10*(1-Параметры!B$23*IF(Параметры!B$24="опт",$E10,$D10))</f>
        <v>6.95808</v>
      </c>
      <c r="G10" s="11" t="n">
        <f aca="false">$B10*(1-Параметры!C$23*IF(Параметры!C$24="опт",$E10,$D10))</f>
        <v>6.2976</v>
      </c>
      <c r="H10" s="11" t="n">
        <f aca="false">$B10*(1-Параметры!D$23*IF(Параметры!D$24="опт",$E10,$D10))</f>
        <v>5.424</v>
      </c>
    </row>
    <row r="11" customFormat="false" ht="15" hidden="false" customHeight="false" outlineLevel="0" collapsed="false">
      <c r="A11" s="6" t="str">
        <f aca="false">Параметры!A15</f>
        <v>Поддержка законодательства</v>
      </c>
      <c r="B11" s="11" t="n">
        <f aca="false">Параметры!C15</f>
        <v>14.4</v>
      </c>
      <c r="C11" s="6" t="str">
        <f aca="false">Параметры!D15</f>
        <v>Изменения</v>
      </c>
      <c r="D11" s="16" t="n">
        <f aca="false">INDEX($C$4:$C$7,MATCH(C11,$A$4:$A$7,0))</f>
        <v>0.344</v>
      </c>
      <c r="E11" s="16" t="n">
        <f aca="false">INDEX($D$4:$D$7,MATCH(C11,$A$4:$A$7,0))</f>
        <v>0.435</v>
      </c>
      <c r="F11" s="11" t="n">
        <f aca="false">$B11*(1-Параметры!B$23*IF(Параметры!B$24="опт",$E11,$D11))</f>
        <v>10.43712</v>
      </c>
      <c r="G11" s="11" t="n">
        <f aca="false">$B11*(1-Параметры!C$23*IF(Параметры!C$24="опт",$E11,$D11))</f>
        <v>9.4464</v>
      </c>
      <c r="H11" s="11" t="n">
        <f aca="false">$B11*(1-Параметры!D$23*IF(Параметры!D$24="опт",$E11,$D11))</f>
        <v>8.136</v>
      </c>
    </row>
    <row r="12" customFormat="false" ht="15" hidden="false" customHeight="false" outlineLevel="0" collapsed="false">
      <c r="A12" s="6" t="str">
        <f aca="false">Параметры!A16</f>
        <v>Развитие продукта</v>
      </c>
      <c r="B12" s="11" t="n">
        <f aca="false">Параметры!C16</f>
        <v>4.8</v>
      </c>
      <c r="C12" s="6" t="str">
        <f aca="false">Параметры!D16</f>
        <v>Изменения</v>
      </c>
      <c r="D12" s="16" t="n">
        <f aca="false">INDEX($C$4:$C$7,MATCH(C12,$A$4:$A$7,0))</f>
        <v>0.344</v>
      </c>
      <c r="E12" s="16" t="n">
        <f aca="false">INDEX($D$4:$D$7,MATCH(C12,$A$4:$A$7,0))</f>
        <v>0.435</v>
      </c>
      <c r="F12" s="11" t="n">
        <f aca="false">$B12*(1-Параметры!B$23*IF(Параметры!B$24="опт",$E12,$D12))</f>
        <v>3.47904</v>
      </c>
      <c r="G12" s="11" t="n">
        <f aca="false">$B12*(1-Параметры!C$23*IF(Параметры!C$24="опт",$E12,$D12))</f>
        <v>3.1488</v>
      </c>
      <c r="H12" s="11" t="n">
        <f aca="false">$B12*(1-Параметры!D$23*IF(Параметры!D$24="опт",$E12,$D12))</f>
        <v>2.712</v>
      </c>
    </row>
    <row r="13" customFormat="false" ht="15" hidden="false" customHeight="false" outlineLevel="0" collapsed="false">
      <c r="A13" s="6" t="str">
        <f aca="false">Параметры!A17</f>
        <v>Поддержка проектов внедрения</v>
      </c>
      <c r="B13" s="11" t="n">
        <f aca="false">Параметры!C17</f>
        <v>4.8</v>
      </c>
      <c r="C13" s="6" t="str">
        <f aca="false">Параметры!D17</f>
        <v>Внедрение</v>
      </c>
      <c r="D13" s="16" t="n">
        <f aca="false">INDEX($C$4:$C$7,MATCH(C13,$A$4:$A$7,0))</f>
        <v>0.2</v>
      </c>
      <c r="E13" s="16" t="n">
        <f aca="false">INDEX($D$4:$D$7,MATCH(C13,$A$4:$A$7,0))</f>
        <v>0.3125</v>
      </c>
      <c r="F13" s="11" t="n">
        <f aca="false">$B13*(1-Параметры!B$23*IF(Параметры!B$24="опт",$E13,$D13))</f>
        <v>4.032</v>
      </c>
      <c r="G13" s="11" t="n">
        <f aca="false">$B13*(1-Параметры!C$23*IF(Параметры!C$24="опт",$E13,$D13))</f>
        <v>3.84</v>
      </c>
      <c r="H13" s="11" t="n">
        <f aca="false">$B13*(1-Параметры!D$23*IF(Параметры!D$24="опт",$E13,$D13))</f>
        <v>3.3</v>
      </c>
    </row>
    <row r="14" customFormat="false" ht="15" hidden="false" customHeight="false" outlineLevel="0" collapsed="false">
      <c r="A14" s="6" t="str">
        <f aca="false">Параметры!A18</f>
        <v>Сопровождение</v>
      </c>
      <c r="B14" s="11" t="n">
        <f aca="false">Параметры!C18</f>
        <v>12</v>
      </c>
      <c r="C14" s="6" t="str">
        <f aca="false">Параметры!D18</f>
        <v>Сопровождение</v>
      </c>
      <c r="D14" s="16" t="n">
        <f aca="false">INDEX($C$4:$C$7,MATCH(C14,$A$4:$A$7,0))</f>
        <v>0.33</v>
      </c>
      <c r="E14" s="16" t="n">
        <f aca="false">INDEX($D$4:$D$7,MATCH(C14,$A$4:$A$7,0))</f>
        <v>0.4675</v>
      </c>
      <c r="F14" s="11" t="n">
        <f aca="false">$B14*(1-Параметры!B$23*IF(Параметры!B$24="опт",$E14,$D14))</f>
        <v>8.832</v>
      </c>
      <c r="G14" s="11" t="n">
        <f aca="false">$B14*(1-Параметры!C$23*IF(Параметры!C$24="опт",$E14,$D14))</f>
        <v>8.04</v>
      </c>
      <c r="H14" s="11" t="n">
        <f aca="false">$B14*(1-Параметры!D$23*IF(Параметры!D$24="опт",$E14,$D14))</f>
        <v>6.39</v>
      </c>
    </row>
    <row r="15" customFormat="false" ht="15" hidden="false" customHeight="false" outlineLevel="0" collapsed="false">
      <c r="A15" s="6" t="str">
        <f aca="false">Параметры!A19</f>
        <v>Пресейлы и обследования</v>
      </c>
      <c r="B15" s="11" t="n">
        <f aca="false">Параметры!C19</f>
        <v>2.4</v>
      </c>
      <c r="C15" s="6" t="str">
        <f aca="false">Параметры!D19</f>
        <v>Пресейлы</v>
      </c>
      <c r="D15" s="16" t="n">
        <f aca="false">INDEX($C$4:$C$7,MATCH(C15,$A$4:$A$7,0))</f>
        <v>0.15</v>
      </c>
      <c r="E15" s="16" t="n">
        <f aca="false">INDEX($D$4:$D$7,MATCH(C15,$A$4:$A$7,0))</f>
        <v>0.25</v>
      </c>
      <c r="F15" s="11" t="n">
        <f aca="false">$B15*(1-Параметры!B$23*IF(Параметры!B$24="опт",$E15,$D15))</f>
        <v>2.112</v>
      </c>
      <c r="G15" s="11" t="n">
        <f aca="false">$B15*(1-Параметры!C$23*IF(Параметры!C$24="опт",$E15,$D15))</f>
        <v>2.04</v>
      </c>
      <c r="H15" s="11" t="n">
        <f aca="false">$B15*(1-Параметры!D$23*IF(Параметры!D$24="опт",$E15,$D15))</f>
        <v>1.8</v>
      </c>
    </row>
    <row r="16" customFormat="false" ht="15" hidden="false" customHeight="false" outlineLevel="0" collapsed="false">
      <c r="A16" s="8" t="s">
        <v>134</v>
      </c>
      <c r="B16" s="13" t="n">
        <f aca="false">SUM(B10:B15)</f>
        <v>48</v>
      </c>
      <c r="F16" s="13" t="n">
        <f aca="false">SUM(F10:F15)</f>
        <v>35.85024</v>
      </c>
      <c r="G16" s="13" t="n">
        <f aca="false">SUM(G10:G15)</f>
        <v>32.8128</v>
      </c>
      <c r="H16" s="13" t="n">
        <f aca="false">SUM(H10:H15)</f>
        <v>27.762</v>
      </c>
    </row>
    <row r="17" customFormat="false" ht="15" hidden="false" customHeight="false" outlineLevel="0" collapsed="false">
      <c r="A17" s="6" t="s">
        <v>135</v>
      </c>
      <c r="F17" s="11" t="n">
        <f aca="false">F16*Параметры!B25</f>
        <v>1.792512</v>
      </c>
      <c r="G17" s="11" t="n">
        <f aca="false">G16*Параметры!C25</f>
        <v>1.64064</v>
      </c>
      <c r="H17" s="11" t="n">
        <f aca="false">H16*Параметры!D25</f>
        <v>1.3881</v>
      </c>
    </row>
    <row r="18" customFormat="false" ht="15" hidden="false" customHeight="false" outlineLevel="0" collapsed="false">
      <c r="A18" s="6" t="s">
        <v>136</v>
      </c>
      <c r="F18" s="11" t="n">
        <f aca="false">SUMIF($C$10:$C$15,"Изменения",F10:F15)*Параметры!B26*Параметры!B27</f>
        <v>1.043712</v>
      </c>
      <c r="G18" s="11" t="n">
        <f aca="false">SUMIF($C$10:$C$15,"Изменения",G10:G15)*Параметры!C26*Параметры!C27</f>
        <v>0.94464</v>
      </c>
      <c r="H18" s="11" t="n">
        <f aca="false">SUMIF($C$10:$C$15,"Изменения",H10:H15)*Параметры!D26*Параметры!D27</f>
        <v>0.8136</v>
      </c>
    </row>
    <row r="19" customFormat="false" ht="15" hidden="false" customHeight="false" outlineLevel="0" collapsed="false">
      <c r="A19" s="8" t="s">
        <v>137</v>
      </c>
      <c r="F19" s="13" t="n">
        <f aca="false">F16+F17-F18</f>
        <v>36.59904</v>
      </c>
      <c r="G19" s="13" t="n">
        <f aca="false">G16+G17-G18</f>
        <v>33.5088</v>
      </c>
      <c r="H19" s="13" t="n">
        <f aca="false">H16+H17-H18</f>
        <v>28.3365</v>
      </c>
    </row>
    <row r="20" customFormat="false" ht="15" hidden="false" customHeight="false" outlineLevel="0" collapsed="false">
      <c r="A20" s="8" t="s">
        <v>138</v>
      </c>
      <c r="F20" s="12" t="n">
        <f aca="false">1-F19/$B$16</f>
        <v>0.23752</v>
      </c>
      <c r="G20" s="12" t="n">
        <f aca="false">1-G19/$B$16</f>
        <v>0.3019</v>
      </c>
      <c r="H20" s="12" t="n">
        <f aca="false">1-H19/$B$16</f>
        <v>0.40965625</v>
      </c>
    </row>
    <row r="22" customFormat="false" ht="16.4" hidden="false" customHeight="false" outlineLevel="0" collapsed="false">
      <c r="A22" s="5" t="s">
        <v>139</v>
      </c>
      <c r="B22" s="5" t="s">
        <v>140</v>
      </c>
      <c r="C22" s="5" t="s">
        <v>141</v>
      </c>
      <c r="D22" s="5" t="s">
        <v>142</v>
      </c>
      <c r="E22" s="5" t="s">
        <v>143</v>
      </c>
      <c r="F22" s="5" t="s">
        <v>144</v>
      </c>
      <c r="G22" s="5" t="s">
        <v>145</v>
      </c>
      <c r="H22" s="5" t="s">
        <v>146</v>
      </c>
      <c r="I22" s="5" t="s">
        <v>147</v>
      </c>
      <c r="J22" s="5" t="s">
        <v>148</v>
      </c>
      <c r="K22" s="5" t="s">
        <v>149</v>
      </c>
      <c r="L22" s="5" t="s">
        <v>150</v>
      </c>
      <c r="M22" s="5" t="s">
        <v>151</v>
      </c>
    </row>
    <row r="24" customFormat="false" ht="15" hidden="false" customHeight="false" outlineLevel="0" collapsed="false">
      <c r="A24" s="6" t="s">
        <v>35</v>
      </c>
      <c r="B24" s="16" t="n">
        <f aca="false">SUMPRODUCT((Атомы!$A$5:$A$26=$A24)*Атомы!$E$5:$E$26*Атомы!$H$5:$H$26)/INDEX($B$4:$B$7,MATCH($A24,$A$4:$A$7,0))</f>
        <v>0.34</v>
      </c>
      <c r="C24" s="16" t="n">
        <f aca="false">SUMPRODUCT((Атомы!$A$5:$A$26=$A24)*Атомы!$E$5:$E$26*Атомы!$I$5:$I$26)/INDEX($B$4:$B$7,MATCH($A24,$A$4:$A$7,0))</f>
        <v>0.29</v>
      </c>
      <c r="D24" s="16" t="n">
        <f aca="false">SUMPRODUCT((Атомы!$A$5:$A$26=$A24)*Атомы!$E$5:$E$26*Атомы!$J$5:$J$26)/INDEX($B$4:$B$7,MATCH($A24,$A$4:$A$7,0))</f>
        <v>0.37</v>
      </c>
      <c r="E24" s="16" t="n">
        <f aca="false">SUMPRODUCT((Атомы!$A$5:$A$26=$A24)*Атомы!$L$5:$L$26*Атомы!$H$5:$H$26)/INDEX($B$4:$B$7,MATCH($A24,$A$4:$A$7,0))</f>
        <v>0.244</v>
      </c>
      <c r="F24" s="16" t="n">
        <f aca="false">SUMPRODUCT((Атомы!$A$5:$A$26=$A24)*Атомы!$L$5:$L$26*Атомы!$I$5:$I$26)/INDEX($B$4:$B$7,MATCH($A24,$A$4:$A$7,0))</f>
        <v>0.1795</v>
      </c>
      <c r="G24" s="16" t="n">
        <f aca="false">SUMPRODUCT((Атомы!$A$5:$A$26=$A24)*Атомы!$L$5:$L$26*Атомы!$J$5:$J$26)/INDEX($B$4:$B$7,MATCH($A24,$A$4:$A$7,0))</f>
        <v>0.2325</v>
      </c>
      <c r="H24" s="16" t="n">
        <f aca="false">SUMPRODUCT((Атомы!$A$5:$A$26=$A24)*Атомы!$M$5:$M$26*Атомы!$H$5:$H$26)/INDEX($B$4:$B$7,MATCH($A24,$A$4:$A$7,0))</f>
        <v>0.224</v>
      </c>
      <c r="I24" s="16" t="n">
        <f aca="false">SUMPRODUCT((Атомы!$A$5:$A$26=$A24)*Атомы!$M$5:$M$26*Атомы!$I$5:$I$26)/INDEX($B$4:$B$7,MATCH($A24,$A$4:$A$7,0))</f>
        <v>0.1505</v>
      </c>
      <c r="J24" s="16" t="n">
        <f aca="false">SUMPRODUCT((Атомы!$A$5:$A$26=$A24)*Атомы!$M$5:$M$26*Атомы!$J$5:$J$26)/INDEX($B$4:$B$7,MATCH($A24,$A$4:$A$7,0))</f>
        <v>0.1905</v>
      </c>
      <c r="K24" s="16" t="n">
        <f aca="false">SUMPRODUCT((Атомы!$A$5:$A$26=$A24)*Атомы!$E$5:$E$26*Атомы!$K$5:$K$26)/INDEX($B$4:$B$7,MATCH($A24,$A$4:$A$7,0))</f>
        <v>0.14</v>
      </c>
      <c r="L24" s="16" t="n">
        <f aca="false">SUMPRODUCT((Атомы!$A$5:$A$26=$A24)*Атомы!$L$5:$L$26*Атомы!$K$5:$K$26)/INDEX($B$4:$B$7,MATCH($A24,$A$4:$A$7,0))</f>
        <v>0.1092</v>
      </c>
      <c r="M24" s="16" t="n">
        <f aca="false">SUMPRODUCT((Атомы!$A$5:$A$26=$A24)*Атомы!$M$5:$M$26*Атомы!$K$5:$K$26)/INDEX($B$4:$B$7,MATCH($A24,$A$4:$A$7,0))</f>
        <v>0.1036</v>
      </c>
    </row>
    <row r="25" customFormat="false" ht="15" hidden="false" customHeight="false" outlineLevel="0" collapsed="false">
      <c r="A25" s="6" t="s">
        <v>40</v>
      </c>
      <c r="B25" s="16" t="n">
        <f aca="false">SUMPRODUCT((Атомы!$A$5:$A$26=$A25)*Атомы!$E$5:$E$26*Атомы!$H$5:$H$26)/INDEX($B$4:$B$7,MATCH($A25,$A$4:$A$7,0))</f>
        <v>0.5</v>
      </c>
      <c r="C25" s="16" t="n">
        <f aca="false">SUMPRODUCT((Атомы!$A$5:$A$26=$A25)*Атомы!$E$5:$E$26*Атомы!$I$5:$I$26)/INDEX($B$4:$B$7,MATCH($A25,$A$4:$A$7,0))</f>
        <v>0.4</v>
      </c>
      <c r="D25" s="16" t="n">
        <f aca="false">SUMPRODUCT((Атомы!$A$5:$A$26=$A25)*Атомы!$E$5:$E$26*Атомы!$J$5:$J$26)/INDEX($B$4:$B$7,MATCH($A25,$A$4:$A$7,0))</f>
        <v>0.1</v>
      </c>
      <c r="E25" s="16" t="n">
        <f aca="false">SUMPRODUCT((Атомы!$A$5:$A$26=$A25)*Атомы!$L$5:$L$26*Атомы!$H$5:$H$26)/INDEX($B$4:$B$7,MATCH($A25,$A$4:$A$7,0))</f>
        <v>0.32</v>
      </c>
      <c r="F25" s="16" t="n">
        <f aca="false">SUMPRODUCT((Атомы!$A$5:$A$26=$A25)*Атомы!$L$5:$L$26*Атомы!$I$5:$I$26)/INDEX($B$4:$B$7,MATCH($A25,$A$4:$A$7,0))</f>
        <v>0.27</v>
      </c>
      <c r="G25" s="16" t="n">
        <f aca="false">SUMPRODUCT((Атомы!$A$5:$A$26=$A25)*Атомы!$L$5:$L$26*Атомы!$J$5:$J$26)/INDEX($B$4:$B$7,MATCH($A25,$A$4:$A$7,0))</f>
        <v>0.08</v>
      </c>
      <c r="H25" s="16" t="n">
        <f aca="false">SUMPRODUCT((Атомы!$A$5:$A$26=$A25)*Атомы!$M$5:$M$26*Атомы!$H$5:$H$26)/INDEX($B$4:$B$7,MATCH($A25,$A$4:$A$7,0))</f>
        <v>0.2525</v>
      </c>
      <c r="I25" s="16" t="n">
        <f aca="false">SUMPRODUCT((Атомы!$A$5:$A$26=$A25)*Атомы!$M$5:$M$26*Атомы!$I$5:$I$26)/INDEX($B$4:$B$7,MATCH($A25,$A$4:$A$7,0))</f>
        <v>0.21</v>
      </c>
      <c r="J25" s="16" t="n">
        <f aca="false">SUMPRODUCT((Атомы!$A$5:$A$26=$A25)*Атомы!$M$5:$M$26*Атомы!$J$5:$J$26)/INDEX($B$4:$B$7,MATCH($A25,$A$4:$A$7,0))</f>
        <v>0.07</v>
      </c>
      <c r="K25" s="16" t="n">
        <f aca="false">SUMPRODUCT((Атомы!$A$5:$A$26=$A25)*Атомы!$E$5:$E$26*Атомы!$K$5:$K$26)/INDEX($B$4:$B$7,MATCH($A25,$A$4:$A$7,0))</f>
        <v>0</v>
      </c>
      <c r="L25" s="16" t="n">
        <f aca="false">SUMPRODUCT((Атомы!$A$5:$A$26=$A25)*Атомы!$L$5:$L$26*Атомы!$K$5:$K$26)/INDEX($B$4:$B$7,MATCH($A25,$A$4:$A$7,0))</f>
        <v>0</v>
      </c>
      <c r="M25" s="16" t="n">
        <f aca="false">SUMPRODUCT((Атомы!$A$5:$A$26=$A25)*Атомы!$M$5:$M$26*Атомы!$K$5:$K$26)/INDEX($B$4:$B$7,MATCH($A25,$A$4:$A$7,0))</f>
        <v>0</v>
      </c>
    </row>
    <row r="26" customFormat="false" ht="15" hidden="false" customHeight="false" outlineLevel="0" collapsed="false">
      <c r="A26" s="6" t="s">
        <v>39</v>
      </c>
      <c r="B26" s="16" t="n">
        <f aca="false">SUMPRODUCT((Атомы!$A$5:$A$26=$A26)*Атомы!$E$5:$E$26*Атомы!$H$5:$H$26)/INDEX($B$4:$B$7,MATCH($A26,$A$4:$A$7,0))</f>
        <v>0.625</v>
      </c>
      <c r="C26" s="16" t="n">
        <f aca="false">SUMPRODUCT((Атомы!$A$5:$A$26=$A26)*Атомы!$E$5:$E$26*Атомы!$I$5:$I$26)/INDEX($B$4:$B$7,MATCH($A26,$A$4:$A$7,0))</f>
        <v>0.125</v>
      </c>
      <c r="D26" s="16" t="n">
        <f aca="false">SUMPRODUCT((Атомы!$A$5:$A$26=$A26)*Атомы!$E$5:$E$26*Атомы!$J$5:$J$26)/INDEX($B$4:$B$7,MATCH($A26,$A$4:$A$7,0))</f>
        <v>0.25</v>
      </c>
      <c r="E26" s="16" t="n">
        <f aca="false">SUMPRODUCT((Атомы!$A$5:$A$26=$A26)*Атомы!$L$5:$L$26*Атомы!$H$5:$H$26)/INDEX($B$4:$B$7,MATCH($A26,$A$4:$A$7,0))</f>
        <v>0.5</v>
      </c>
      <c r="F26" s="16" t="n">
        <f aca="false">SUMPRODUCT((Атомы!$A$5:$A$26=$A26)*Атомы!$L$5:$L$26*Атомы!$I$5:$I$26)/INDEX($B$4:$B$7,MATCH($A26,$A$4:$A$7,0))</f>
        <v>0.1</v>
      </c>
      <c r="G26" s="16" t="n">
        <f aca="false">SUMPRODUCT((Атомы!$A$5:$A$26=$A26)*Атомы!$L$5:$L$26*Атомы!$J$5:$J$26)/INDEX($B$4:$B$7,MATCH($A26,$A$4:$A$7,0))</f>
        <v>0.2</v>
      </c>
      <c r="H26" s="16" t="n">
        <f aca="false">SUMPRODUCT((Атомы!$A$5:$A$26=$A26)*Атомы!$M$5:$M$26*Атомы!$H$5:$H$26)/INDEX($B$4:$B$7,MATCH($A26,$A$4:$A$7,0))</f>
        <v>0.4375</v>
      </c>
      <c r="I26" s="16" t="n">
        <f aca="false">SUMPRODUCT((Атомы!$A$5:$A$26=$A26)*Атомы!$M$5:$M$26*Атомы!$I$5:$I$26)/INDEX($B$4:$B$7,MATCH($A26,$A$4:$A$7,0))</f>
        <v>0.08125</v>
      </c>
      <c r="J26" s="16" t="n">
        <f aca="false">SUMPRODUCT((Атомы!$A$5:$A$26=$A26)*Атомы!$M$5:$M$26*Атомы!$J$5:$J$26)/INDEX($B$4:$B$7,MATCH($A26,$A$4:$A$7,0))</f>
        <v>0.16875</v>
      </c>
      <c r="K26" s="16" t="n">
        <f aca="false">SUMPRODUCT((Атомы!$A$5:$A$26=$A26)*Атомы!$E$5:$E$26*Атомы!$K$5:$K$26)/INDEX($B$4:$B$7,MATCH($A26,$A$4:$A$7,0))</f>
        <v>0.5</v>
      </c>
      <c r="L26" s="16" t="n">
        <f aca="false">SUMPRODUCT((Атомы!$A$5:$A$26=$A26)*Атомы!$L$5:$L$26*Атомы!$K$5:$K$26)/INDEX($B$4:$B$7,MATCH($A26,$A$4:$A$7,0))</f>
        <v>0.4</v>
      </c>
      <c r="M26" s="16" t="n">
        <f aca="false">SUMPRODUCT((Атомы!$A$5:$A$26=$A26)*Атомы!$M$5:$M$26*Атомы!$K$5:$K$26)/INDEX($B$4:$B$7,MATCH($A26,$A$4:$A$7,0))</f>
        <v>0.35</v>
      </c>
    </row>
    <row r="27" customFormat="false" ht="15" hidden="false" customHeight="false" outlineLevel="0" collapsed="false">
      <c r="A27" s="6" t="s">
        <v>42</v>
      </c>
      <c r="B27" s="16" t="n">
        <f aca="false">SUMPRODUCT((Атомы!$A$5:$A$26=$A27)*Атомы!$E$5:$E$26*Атомы!$H$5:$H$26)/INDEX($B$4:$B$7,MATCH($A27,$A$4:$A$7,0))</f>
        <v>0.75</v>
      </c>
      <c r="C27" s="16" t="n">
        <f aca="false">SUMPRODUCT((Атомы!$A$5:$A$26=$A27)*Атомы!$E$5:$E$26*Атомы!$I$5:$I$26)/INDEX($B$4:$B$7,MATCH($A27,$A$4:$A$7,0))</f>
        <v>0.25</v>
      </c>
      <c r="D27" s="16" t="n">
        <f aca="false">SUMPRODUCT((Атомы!$A$5:$A$26=$A27)*Атомы!$E$5:$E$26*Атомы!$J$5:$J$26)/INDEX($B$4:$B$7,MATCH($A27,$A$4:$A$7,0))</f>
        <v>0</v>
      </c>
      <c r="E27" s="16" t="n">
        <f aca="false">SUMPRODUCT((Атомы!$A$5:$A$26=$A27)*Атомы!$L$5:$L$26*Атомы!$H$5:$H$26)/INDEX($B$4:$B$7,MATCH($A27,$A$4:$A$7,0))</f>
        <v>0.675</v>
      </c>
      <c r="F27" s="16" t="n">
        <f aca="false">SUMPRODUCT((Атомы!$A$5:$A$26=$A27)*Атомы!$L$5:$L$26*Атомы!$I$5:$I$26)/INDEX($B$4:$B$7,MATCH($A27,$A$4:$A$7,0))</f>
        <v>0.175</v>
      </c>
      <c r="G27" s="16" t="n">
        <f aca="false">SUMPRODUCT((Атомы!$A$5:$A$26=$A27)*Атомы!$L$5:$L$26*Атомы!$J$5:$J$26)/INDEX($B$4:$B$7,MATCH($A27,$A$4:$A$7,0))</f>
        <v>0</v>
      </c>
      <c r="H27" s="16" t="n">
        <f aca="false">SUMPRODUCT((Атомы!$A$5:$A$26=$A27)*Атомы!$M$5:$M$26*Атомы!$H$5:$H$26)/INDEX($B$4:$B$7,MATCH($A27,$A$4:$A$7,0))</f>
        <v>0.6125</v>
      </c>
      <c r="I27" s="16" t="n">
        <f aca="false">SUMPRODUCT((Атомы!$A$5:$A$26=$A27)*Атомы!$M$5:$M$26*Атомы!$I$5:$I$26)/INDEX($B$4:$B$7,MATCH($A27,$A$4:$A$7,0))</f>
        <v>0.1375</v>
      </c>
      <c r="J27" s="16" t="n">
        <f aca="false">SUMPRODUCT((Атомы!$A$5:$A$26=$A27)*Атомы!$M$5:$M$26*Атомы!$J$5:$J$26)/INDEX($B$4:$B$7,MATCH($A27,$A$4:$A$7,0))</f>
        <v>0</v>
      </c>
      <c r="K27" s="16" t="n">
        <f aca="false">SUMPRODUCT((Атомы!$A$5:$A$26=$A27)*Атомы!$E$5:$E$26*Атомы!$K$5:$K$26)/INDEX($B$4:$B$7,MATCH($A27,$A$4:$A$7,0))</f>
        <v>0</v>
      </c>
      <c r="L27" s="16" t="n">
        <f aca="false">SUMPRODUCT((Атомы!$A$5:$A$26=$A27)*Атомы!$L$5:$L$26*Атомы!$K$5:$K$26)/INDEX($B$4:$B$7,MATCH($A27,$A$4:$A$7,0))</f>
        <v>0</v>
      </c>
      <c r="M27" s="16" t="n">
        <f aca="false">SUMPRODUCT((Атомы!$A$5:$A$26=$A27)*Атомы!$M$5:$M$26*Атомы!$K$5:$K$26)/INDEX($B$4:$B$7,MATCH($A27,$A$4:$A$7,0))</f>
        <v>0</v>
      </c>
    </row>
    <row r="29" customFormat="false" ht="16.4" hidden="false" customHeight="false" outlineLevel="0" collapsed="false">
      <c r="A29" s="5" t="s">
        <v>152</v>
      </c>
      <c r="B29" s="5" t="s">
        <v>130</v>
      </c>
    </row>
    <row r="30" customFormat="false" ht="15" hidden="false" customHeight="false" outlineLevel="0" collapsed="false">
      <c r="A30" s="6" t="s">
        <v>35</v>
      </c>
      <c r="B30" s="11" t="n">
        <f aca="false">SUMIF($C$10:$C$15,A30,$B$10:$B$15)</f>
        <v>28.8</v>
      </c>
    </row>
    <row r="31" customFormat="false" ht="15" hidden="false" customHeight="false" outlineLevel="0" collapsed="false">
      <c r="A31" s="6" t="s">
        <v>40</v>
      </c>
      <c r="B31" s="11" t="n">
        <f aca="false">SUMIF($C$10:$C$15,A31,$B$10:$B$15)</f>
        <v>12</v>
      </c>
    </row>
    <row r="32" customFormat="false" ht="15" hidden="false" customHeight="false" outlineLevel="0" collapsed="false">
      <c r="A32" s="6" t="s">
        <v>39</v>
      </c>
      <c r="B32" s="11" t="n">
        <f aca="false">SUMIF($C$10:$C$15,A32,$B$10:$B$15)</f>
        <v>4.8</v>
      </c>
    </row>
    <row r="33" customFormat="false" ht="15" hidden="false" customHeight="false" outlineLevel="0" collapsed="false">
      <c r="A33" s="6" t="s">
        <v>42</v>
      </c>
      <c r="B33" s="11" t="n">
        <f aca="false">SUMIF($C$10:$C$15,A33,$B$10:$B$15)</f>
        <v>2.4</v>
      </c>
    </row>
    <row r="35" customFormat="false" ht="16.4" hidden="false" customHeight="false" outlineLevel="0" collapsed="false">
      <c r="A35" s="5" t="s">
        <v>153</v>
      </c>
      <c r="B35" s="5" t="s">
        <v>154</v>
      </c>
      <c r="C35" s="5" t="s">
        <v>155</v>
      </c>
      <c r="D35" s="5" t="s">
        <v>46</v>
      </c>
      <c r="E35" s="5" t="s">
        <v>156</v>
      </c>
      <c r="F35" s="5" t="s">
        <v>20</v>
      </c>
    </row>
    <row r="36" customFormat="false" ht="15" hidden="false" customHeight="false" outlineLevel="0" collapsed="false">
      <c r="A36" s="6" t="s">
        <v>157</v>
      </c>
      <c r="B36" s="11" t="n">
        <f aca="false">SUMPRODUCT($B$30:$B$33,B24:B27)</f>
        <v>20.592</v>
      </c>
      <c r="C36" s="11" t="n">
        <f aca="false">SUMPRODUCT($B$30:$B$33,(1-Параметры!B$23)*B24:B27+Параметры!B$23*((Параметры!B$24="опт")*H24:H27+(1-(Параметры!B$24="опт"))*E24:E27))+F$17*0-F$18*Параметры!$B$34</f>
        <v>15.7150464</v>
      </c>
      <c r="D36" s="11" t="n">
        <f aca="false">SUMPRODUCT($B$30:$B$33,(1-Параметры!C$23)*B24:B27+Параметры!C$23*((Параметры!C$24="опт")*H24:H27+(1-(Параметры!C$24="опт"))*E24:E27))+G$17*0-G$18*Параметры!$B$34</f>
        <v>14.603808</v>
      </c>
      <c r="E36" s="11" t="n">
        <f aca="false">SUMPRODUCT($B$30:$B$33,(1-Параметры!D$23)*B24:B27+Параметры!D$23*((Параметры!D$24="опт")*H24:H27+(1-(Параметры!D$24="опт"))*E24:E27))+H$17*0-H$18*Параметры!$B$34</f>
        <v>12.80712</v>
      </c>
      <c r="F36" s="11" t="n">
        <f aca="false">Параметры!$B$4*Параметры!B6</f>
        <v>12</v>
      </c>
    </row>
    <row r="37" customFormat="false" ht="15" hidden="false" customHeight="false" outlineLevel="0" collapsed="false">
      <c r="A37" s="6" t="s">
        <v>85</v>
      </c>
      <c r="B37" s="11" t="n">
        <f aca="false">SUMPRODUCT($B$30:$B$33,C24:C27)</f>
        <v>14.352</v>
      </c>
      <c r="C37" s="11" t="n">
        <f aca="false">SUMPRODUCT($B$30:$B$33,(1-Параметры!B$23)*C24:C27+Параметры!B$23*((Параметры!B$24="опт")*I24:I27+(1-(Параметры!B$24="опт"))*F24:F27))+F$17*Параметры!$B$32-F$18*Параметры!$B$35</f>
        <v>10.9012224</v>
      </c>
      <c r="D37" s="11" t="n">
        <f aca="false">SUMPRODUCT($B$30:$B$33,(1-Параметры!C$23)*C24:C27+Параметры!C$23*((Параметры!C$24="опт")*I24:I27+(1-(Параметры!C$24="опт"))*F24:F27))+G$17*Параметры!$B$32-G$18*Параметры!$B$35</f>
        <v>9.846528</v>
      </c>
      <c r="E37" s="11" t="n">
        <f aca="false">SUMPRODUCT($B$30:$B$33,(1-Параметры!D$23)*C24:C27+Параметры!D$23*((Параметры!D$24="опт")*I24:I27+(1-(Параметры!D$24="опт"))*F24:F27))+H$17*Параметры!$B$32-H$18*Параметры!$B$35</f>
        <v>8.02437</v>
      </c>
      <c r="F37" s="11" t="n">
        <f aca="false">Параметры!$B$4*Параметры!B7</f>
        <v>24</v>
      </c>
    </row>
    <row r="38" customFormat="false" ht="15" hidden="false" customHeight="false" outlineLevel="0" collapsed="false">
      <c r="A38" s="6" t="s">
        <v>158</v>
      </c>
      <c r="B38" s="11" t="n">
        <f aca="false">SUMPRODUCT($B$30:$B$33,D24:D27)</f>
        <v>13.056</v>
      </c>
      <c r="C38" s="11" t="n">
        <f aca="false">SUMPRODUCT($B$30:$B$33,(1-Параметры!B$23)*D24:D27+Параметры!B$23*((Параметры!B$24="опт")*J24:J27+(1-(Параметры!B$24="опт"))*G24:G27))+F$17*Параметры!$B$33-F$18*Параметры!$B$36</f>
        <v>9.9827712</v>
      </c>
      <c r="D38" s="11" t="n">
        <f aca="false">SUMPRODUCT($B$30:$B$33,(1-Параметры!C$23)*D24:D27+Параметры!C$23*((Параметры!C$24="опт")*J24:J27+(1-(Параметры!C$24="опт"))*G24:G27))+G$17*Параметры!$B$33-G$18*Параметры!$B$36</f>
        <v>9.058464</v>
      </c>
      <c r="E38" s="11" t="n">
        <f aca="false">SUMPRODUCT($B$30:$B$33,(1-Параметры!D$23)*D24:D27+Параметры!D$23*((Параметры!D$24="опт")*J24:J27+(1-(Параметры!D$24="опт"))*G24:G27))+H$17*Параметры!$B$33-H$18*Параметры!$B$36</f>
        <v>7.50501</v>
      </c>
      <c r="F38" s="11" t="n">
        <f aca="false">Параметры!$B$4*Параметры!B8</f>
        <v>12</v>
      </c>
    </row>
    <row r="39" customFormat="false" ht="15" hidden="false" customHeight="false" outlineLevel="0" collapsed="false">
      <c r="A39" s="8" t="s">
        <v>159</v>
      </c>
      <c r="B39" s="13" t="n">
        <f aca="false">SUM(B36:B38)</f>
        <v>48</v>
      </c>
      <c r="C39" s="13" t="n">
        <f aca="false">SUM(C36:C38)</f>
        <v>36.59904</v>
      </c>
      <c r="D39" s="13" t="n">
        <f aca="false">SUM(D36:D38)</f>
        <v>33.5088</v>
      </c>
      <c r="E39" s="13" t="n">
        <f aca="false">SUM(E36:E38)</f>
        <v>28.3365</v>
      </c>
      <c r="F39" s="13" t="n">
        <f aca="false">SUM(F36:F38)</f>
        <v>48</v>
      </c>
    </row>
    <row r="40" customFormat="false" ht="15" hidden="false" customHeight="false" outlineLevel="0" collapsed="false">
      <c r="A40" s="8" t="s">
        <v>160</v>
      </c>
      <c r="B40" s="11" t="n">
        <f aca="false">SUMPRODUCT($B$30:$B$33,$K$24:$K$27)</f>
        <v>6.432</v>
      </c>
      <c r="C40" s="13" t="n">
        <f aca="false">SUMPRODUCT($B$30:$B$33,(1-Параметры!B$23)*$K$24:$K$27+Параметры!B$23*((Параметры!B$24="опт")*$M$24:$M$27+(1-(Параметры!B$24="опт"))*$L$24:$L$27))</f>
        <v>5.338368</v>
      </c>
      <c r="D40" s="13" t="n">
        <f aca="false">SUMPRODUCT($B$30:$B$33,(1-Параметры!C$23)*$K$24:$K$27+Параметры!C$23*((Параметры!C$24="опт")*$M$24:$M$27+(1-(Параметры!C$24="опт"))*$L$24:$L$27))</f>
        <v>5.06496</v>
      </c>
      <c r="E40" s="13" t="n">
        <f aca="false">SUMPRODUCT($B$30:$B$33,(1-Параметры!D$23)*$K$24:$K$27+Параметры!D$23*((Параметры!D$24="опт")*$M$24:$M$27+(1-(Параметры!D$24="опт"))*$L$24:$L$27))</f>
        <v>4.66368</v>
      </c>
    </row>
    <row r="42" customFormat="false" ht="15" hidden="false" customHeight="true" outlineLevel="0" collapsed="false">
      <c r="A42" s="17" t="s">
        <v>161</v>
      </c>
      <c r="B42" s="17"/>
      <c r="C42" s="17"/>
      <c r="D42" s="17"/>
      <c r="E42" s="17"/>
      <c r="F42" s="17"/>
    </row>
    <row r="43" customFormat="false" ht="15" hidden="false" customHeight="false" outlineLevel="0" collapsed="false">
      <c r="A43" s="17"/>
      <c r="B43" s="17"/>
      <c r="C43" s="17"/>
      <c r="D43" s="17"/>
      <c r="E43" s="17"/>
      <c r="F43" s="17"/>
    </row>
    <row r="44" customFormat="false" ht="15" hidden="false" customHeight="false" outlineLevel="0" collapsed="false">
      <c r="A44" s="17"/>
      <c r="B44" s="17"/>
      <c r="C44" s="17"/>
      <c r="D44" s="17"/>
      <c r="E44" s="17"/>
      <c r="F44" s="17"/>
    </row>
  </sheetData>
  <mergeCells count="1">
    <mergeCell ref="A42:F4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10"/>
    <col collapsed="false" customWidth="true" hidden="false" outlineLevel="0" max="3" min="3" style="0" width="8"/>
    <col collapsed="false" customWidth="true" hidden="false" outlineLevel="0" max="4" min="4" style="0" width="11"/>
    <col collapsed="false" customWidth="true" hidden="false" outlineLevel="0" max="5" min="5" style="0" width="13"/>
    <col collapsed="false" customWidth="true" hidden="false" outlineLevel="0" max="6" min="6" style="0" width="14"/>
    <col collapsed="false" customWidth="true" hidden="false" outlineLevel="0" max="7" min="7" style="0" width="11"/>
    <col collapsed="false" customWidth="true" hidden="false" outlineLevel="0" max="8" min="8" style="0" width="10"/>
  </cols>
  <sheetData>
    <row r="1" customFormat="false" ht="17.35" hidden="false" customHeight="false" outlineLevel="0" collapsed="false">
      <c r="A1" s="4" t="s">
        <v>162</v>
      </c>
    </row>
    <row r="3" customFormat="false" ht="31.3" hidden="false" customHeight="false" outlineLevel="0" collapsed="false">
      <c r="A3" s="5" t="s">
        <v>163</v>
      </c>
      <c r="B3" s="5" t="s">
        <v>164</v>
      </c>
      <c r="C3" s="5" t="s">
        <v>165</v>
      </c>
      <c r="D3" s="5" t="s">
        <v>166</v>
      </c>
      <c r="E3" s="5" t="s">
        <v>167</v>
      </c>
      <c r="F3" s="5" t="s">
        <v>168</v>
      </c>
      <c r="G3" s="5" t="s">
        <v>169</v>
      </c>
      <c r="H3" s="5" t="s">
        <v>170</v>
      </c>
    </row>
    <row r="4" customFormat="false" ht="15" hidden="false" customHeight="false" outlineLevel="0" collapsed="false">
      <c r="A4" s="6" t="s">
        <v>171</v>
      </c>
      <c r="B4" s="7" t="n">
        <v>1</v>
      </c>
      <c r="C4" s="7" t="n">
        <v>0</v>
      </c>
      <c r="D4" s="7" t="n">
        <v>5</v>
      </c>
      <c r="E4" s="7" t="n">
        <v>0</v>
      </c>
      <c r="F4" s="7" t="n">
        <v>0</v>
      </c>
      <c r="G4" s="6" t="n">
        <f aca="false">SUM(C4:F4)</f>
        <v>5</v>
      </c>
      <c r="H4" s="6" t="n">
        <f aca="false">B4*G4</f>
        <v>5</v>
      </c>
    </row>
    <row r="5" customFormat="false" ht="15" hidden="false" customHeight="false" outlineLevel="0" collapsed="false">
      <c r="A5" s="6" t="s">
        <v>172</v>
      </c>
      <c r="B5" s="7" t="n">
        <v>1</v>
      </c>
      <c r="C5" s="7" t="n">
        <v>1</v>
      </c>
      <c r="D5" s="7" t="n">
        <v>2</v>
      </c>
      <c r="E5" s="7" t="n">
        <v>2</v>
      </c>
      <c r="F5" s="7" t="n">
        <v>1</v>
      </c>
      <c r="G5" s="6" t="n">
        <f aca="false">SUM(C5:F5)</f>
        <v>6</v>
      </c>
      <c r="H5" s="6" t="n">
        <f aca="false">B5*G5</f>
        <v>6</v>
      </c>
    </row>
    <row r="6" customFormat="false" ht="15" hidden="false" customHeight="false" outlineLevel="0" collapsed="false">
      <c r="A6" s="6" t="s">
        <v>173</v>
      </c>
      <c r="B6" s="7" t="n">
        <v>1</v>
      </c>
      <c r="C6" s="7" t="n">
        <v>1</v>
      </c>
      <c r="D6" s="7" t="n">
        <v>2</v>
      </c>
      <c r="E6" s="7" t="n">
        <v>2</v>
      </c>
      <c r="F6" s="7" t="n">
        <v>1</v>
      </c>
      <c r="G6" s="6" t="n">
        <f aca="false">SUM(C6:F6)</f>
        <v>6</v>
      </c>
      <c r="H6" s="6" t="n">
        <f aca="false">B6*G6</f>
        <v>6</v>
      </c>
    </row>
    <row r="7" customFormat="false" ht="15" hidden="false" customHeight="false" outlineLevel="0" collapsed="false">
      <c r="A7" s="6" t="s">
        <v>174</v>
      </c>
      <c r="B7" s="7" t="n">
        <v>1</v>
      </c>
      <c r="C7" s="7" t="n">
        <v>1</v>
      </c>
      <c r="D7" s="7" t="n">
        <v>2</v>
      </c>
      <c r="E7" s="7" t="n">
        <v>2</v>
      </c>
      <c r="F7" s="7" t="n">
        <v>1</v>
      </c>
      <c r="G7" s="6" t="n">
        <f aca="false">SUM(C7:F7)</f>
        <v>6</v>
      </c>
      <c r="H7" s="6" t="n">
        <f aca="false">B7*G7</f>
        <v>6</v>
      </c>
    </row>
    <row r="8" customFormat="false" ht="15" hidden="false" customHeight="false" outlineLevel="0" collapsed="false">
      <c r="A8" s="6" t="s">
        <v>175</v>
      </c>
      <c r="B8" s="7" t="n">
        <v>1</v>
      </c>
      <c r="C8" s="7" t="n">
        <v>1</v>
      </c>
      <c r="D8" s="7" t="n">
        <v>1</v>
      </c>
      <c r="E8" s="7" t="n">
        <v>3</v>
      </c>
      <c r="F8" s="7" t="n">
        <v>2</v>
      </c>
      <c r="G8" s="6" t="n">
        <f aca="false">SUM(C8:F8)</f>
        <v>7</v>
      </c>
      <c r="H8" s="6" t="n">
        <f aca="false">B8*G8</f>
        <v>7</v>
      </c>
    </row>
    <row r="9" customFormat="false" ht="15" hidden="false" customHeight="false" outlineLevel="0" collapsed="false">
      <c r="A9" s="6" t="s">
        <v>176</v>
      </c>
      <c r="B9" s="7" t="n">
        <v>1</v>
      </c>
      <c r="C9" s="7" t="n">
        <v>1</v>
      </c>
      <c r="D9" s="7" t="n">
        <v>1</v>
      </c>
      <c r="E9" s="7" t="n">
        <v>2</v>
      </c>
      <c r="F9" s="7" t="n">
        <v>2</v>
      </c>
      <c r="G9" s="6" t="n">
        <f aca="false">SUM(C9:F9)</f>
        <v>6</v>
      </c>
      <c r="H9" s="6" t="n">
        <f aca="false">B9*G9</f>
        <v>6</v>
      </c>
    </row>
    <row r="10" customFormat="false" ht="15" hidden="false" customHeight="false" outlineLevel="0" collapsed="false">
      <c r="A10" s="6" t="s">
        <v>177</v>
      </c>
      <c r="H10" s="6" t="n">
        <f aca="false">Параметры!B9</f>
        <v>6</v>
      </c>
    </row>
    <row r="11" customFormat="false" ht="15" hidden="false" customHeight="false" outlineLevel="0" collapsed="false">
      <c r="A11" s="8" t="s">
        <v>178</v>
      </c>
      <c r="C11" s="9" t="n">
        <f aca="false">SUMPRODUCT($B$4:$B$9,C4:C9)</f>
        <v>5</v>
      </c>
      <c r="D11" s="9" t="n">
        <f aca="false">SUMPRODUCT($B$4:$B$9,D4:D9)</f>
        <v>13</v>
      </c>
      <c r="E11" s="9" t="n">
        <f aca="false">SUMPRODUCT($B$4:$B$9,E4:E9)</f>
        <v>11</v>
      </c>
      <c r="F11" s="9" t="n">
        <f aca="false">SUMPRODUCT($B$4:$B$9,F4:F9)</f>
        <v>7</v>
      </c>
      <c r="H11" s="9" t="n">
        <f aca="false">SUM(H4:H9)+H10</f>
        <v>42</v>
      </c>
    </row>
    <row r="12" customFormat="false" ht="15" hidden="false" customHeight="false" outlineLevel="0" collapsed="false">
      <c r="A12" s="6" t="s">
        <v>179</v>
      </c>
      <c r="H12" s="6" t="n">
        <f aca="false">Параметры!B11</f>
        <v>60</v>
      </c>
    </row>
    <row r="13" customFormat="false" ht="15" hidden="false" customHeight="false" outlineLevel="0" collapsed="false">
      <c r="A13" s="8" t="s">
        <v>180</v>
      </c>
      <c r="H13" s="12" t="n">
        <f aca="false">H11/H12-1</f>
        <v>-0.3</v>
      </c>
    </row>
    <row r="15" customFormat="false" ht="31.3" hidden="false" customHeight="false" outlineLevel="0" collapsed="false">
      <c r="A15" s="5" t="s">
        <v>181</v>
      </c>
      <c r="B15" s="5" t="s">
        <v>182</v>
      </c>
      <c r="C15" s="5" t="s">
        <v>155</v>
      </c>
      <c r="D15" s="5" t="s">
        <v>46</v>
      </c>
      <c r="E15" s="5" t="s">
        <v>156</v>
      </c>
      <c r="F15" s="5" t="s">
        <v>183</v>
      </c>
    </row>
    <row r="16" customFormat="false" ht="15" hidden="false" customHeight="false" outlineLevel="0" collapsed="false">
      <c r="A16" s="6" t="s">
        <v>157</v>
      </c>
      <c r="B16" s="11" t="n">
        <f aca="false">D11</f>
        <v>13</v>
      </c>
      <c r="C16" s="11" t="n">
        <f aca="false">Расчёт!C36</f>
        <v>15.7150464</v>
      </c>
      <c r="D16" s="11" t="n">
        <f aca="false">Расчёт!D36</f>
        <v>14.603808</v>
      </c>
      <c r="E16" s="11" t="n">
        <f aca="false">Расчёт!E36</f>
        <v>12.80712</v>
      </c>
      <c r="F16" s="11" t="n">
        <f aca="false">B16-D16</f>
        <v>-1.603808</v>
      </c>
    </row>
    <row r="17" customFormat="false" ht="15" hidden="false" customHeight="false" outlineLevel="0" collapsed="false">
      <c r="A17" s="6" t="s">
        <v>85</v>
      </c>
      <c r="B17" s="11" t="n">
        <f aca="false">E11</f>
        <v>11</v>
      </c>
      <c r="C17" s="11" t="n">
        <f aca="false">Расчёт!C37</f>
        <v>10.9012224</v>
      </c>
      <c r="D17" s="11" t="n">
        <f aca="false">Расчёт!D37</f>
        <v>9.846528</v>
      </c>
      <c r="E17" s="11" t="n">
        <f aca="false">Расчёт!E37</f>
        <v>8.02437</v>
      </c>
      <c r="F17" s="11" t="n">
        <f aca="false">B17-D17</f>
        <v>1.153472</v>
      </c>
    </row>
    <row r="18" customFormat="false" ht="15" hidden="false" customHeight="false" outlineLevel="0" collapsed="false">
      <c r="A18" s="6" t="s">
        <v>158</v>
      </c>
      <c r="B18" s="11" t="n">
        <f aca="false">F11</f>
        <v>7</v>
      </c>
      <c r="C18" s="11" t="n">
        <f aca="false">Расчёт!C38</f>
        <v>9.9827712</v>
      </c>
      <c r="D18" s="11" t="n">
        <f aca="false">Расчёт!D38</f>
        <v>9.058464</v>
      </c>
      <c r="E18" s="11" t="n">
        <f aca="false">Расчёт!E38</f>
        <v>7.50501</v>
      </c>
      <c r="F18" s="11" t="n">
        <f aca="false">B18-D18</f>
        <v>-2.058464</v>
      </c>
    </row>
    <row r="19" customFormat="false" ht="15" hidden="false" customHeight="false" outlineLevel="0" collapsed="false">
      <c r="A19" s="6" t="s">
        <v>184</v>
      </c>
      <c r="B19" s="11" t="n">
        <f aca="false">C11*Параметры!B31</f>
        <v>2.5</v>
      </c>
      <c r="C19" s="11"/>
      <c r="D19" s="11"/>
      <c r="E19" s="11"/>
      <c r="F19" s="11" t="n">
        <f aca="false">B19-D19</f>
        <v>2.5</v>
      </c>
    </row>
    <row r="20" customFormat="false" ht="15" hidden="false" customHeight="false" outlineLevel="0" collapsed="false">
      <c r="A20" s="8" t="s">
        <v>159</v>
      </c>
      <c r="B20" s="13" t="n">
        <f aca="false">SUM(B16:B19)</f>
        <v>33.5</v>
      </c>
      <c r="C20" s="13" t="n">
        <f aca="false">SUM(C16:C19)</f>
        <v>36.59904</v>
      </c>
      <c r="D20" s="13" t="n">
        <f aca="false">SUM(D16:D19)</f>
        <v>33.5088</v>
      </c>
      <c r="E20" s="13" t="n">
        <f aca="false">SUM(E16:E19)</f>
        <v>28.3365</v>
      </c>
      <c r="F20" s="13" t="n">
        <f aca="false">SUM(F16:F19)</f>
        <v>-0.00880000000000436</v>
      </c>
    </row>
    <row r="21" customFormat="false" ht="15" hidden="false" customHeight="false" outlineLevel="0" collapsed="false">
      <c r="A21" s="6" t="s">
        <v>185</v>
      </c>
      <c r="B21" s="11" t="n">
        <f aca="false">D4*B4</f>
        <v>5</v>
      </c>
      <c r="D21" s="11" t="n">
        <f aca="false">Расчёт!D40</f>
        <v>5.06496</v>
      </c>
      <c r="F21" s="11" t="n">
        <f aca="false">B21-D21</f>
        <v>-0.0649600000000001</v>
      </c>
    </row>
    <row r="23" customFormat="false" ht="46.25" hidden="false" customHeight="false" outlineLevel="0" collapsed="false">
      <c r="A23" s="2" t="s">
        <v>186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2026-09-29T07:08:11Z</dcterms:created>
  <dc:creator>openpyxl</dc:creator>
  <dc:description/>
  <dc:language>en-US</dc:language>
  <cp:lastModifiedBy/>
  <dcterms:modified xsi:type="dcterms:W3CDTF">2026-09-29T07:08:11Z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